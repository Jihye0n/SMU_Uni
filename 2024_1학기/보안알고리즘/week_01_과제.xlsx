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ff837376f036e3/바탕 화면/과제/보안알고리즘/"/>
    </mc:Choice>
  </mc:AlternateContent>
  <xr:revisionPtr revIDLastSave="15" documentId="8_{C944B107-94F9-40D4-AD44-22BE9F9D132F}" xr6:coauthVersionLast="47" xr6:coauthVersionMax="47" xr10:uidLastSave="{DAB9F863-50C9-4AF4-A7FC-1783C5B9F22D}"/>
  <bookViews>
    <workbookView xWindow="-108" yWindow="-108" windowWidth="23256" windowHeight="12456" xr2:uid="{776BAB32-8E5E-4A2D-888F-3F5A995DF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G31" i="1"/>
  <c r="G32" i="1" s="1"/>
  <c r="H31" i="1"/>
  <c r="I31" i="1"/>
  <c r="J31" i="1"/>
  <c r="K31" i="1"/>
  <c r="L31" i="1"/>
  <c r="M31" i="1"/>
  <c r="M32" i="1" s="1"/>
  <c r="N31" i="1"/>
  <c r="O31" i="1"/>
  <c r="P31" i="1"/>
  <c r="Q31" i="1"/>
  <c r="B31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B25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B19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B13" i="1"/>
  <c r="B7" i="1"/>
  <c r="C7" i="1"/>
  <c r="D7" i="1"/>
  <c r="E7" i="1"/>
  <c r="F7" i="1"/>
  <c r="G7" i="1"/>
  <c r="H7" i="1"/>
  <c r="I7" i="1"/>
  <c r="I8" i="1" s="1"/>
  <c r="J7" i="1"/>
  <c r="K7" i="1"/>
  <c r="K8" i="1" s="1"/>
  <c r="L7" i="1"/>
  <c r="M7" i="1"/>
  <c r="N7" i="1"/>
  <c r="O7" i="1"/>
  <c r="P7" i="1"/>
  <c r="P8" i="1" s="1"/>
  <c r="Q7" i="1"/>
  <c r="Q8" i="1" s="1"/>
  <c r="B8" i="1"/>
  <c r="C32" i="1"/>
  <c r="Q30" i="1"/>
  <c r="P30" i="1"/>
  <c r="O30" i="1"/>
  <c r="N30" i="1"/>
  <c r="M30" i="1"/>
  <c r="L30" i="1"/>
  <c r="L32" i="1" s="1"/>
  <c r="K30" i="1"/>
  <c r="K32" i="1" s="1"/>
  <c r="J30" i="1"/>
  <c r="J32" i="1" s="1"/>
  <c r="I30" i="1"/>
  <c r="I32" i="1" s="1"/>
  <c r="H30" i="1"/>
  <c r="H32" i="1" s="1"/>
  <c r="G30" i="1"/>
  <c r="F30" i="1"/>
  <c r="E30" i="1"/>
  <c r="D30" i="1"/>
  <c r="D32" i="1" s="1"/>
  <c r="C30" i="1"/>
  <c r="B30" i="1"/>
  <c r="Q24" i="1"/>
  <c r="P24" i="1"/>
  <c r="O24" i="1"/>
  <c r="N24" i="1"/>
  <c r="M24" i="1"/>
  <c r="L24" i="1"/>
  <c r="K24" i="1"/>
  <c r="J24" i="1"/>
  <c r="J26" i="1" s="1"/>
  <c r="I24" i="1"/>
  <c r="I26" i="1" s="1"/>
  <c r="H24" i="1"/>
  <c r="H26" i="1" s="1"/>
  <c r="G24" i="1"/>
  <c r="G26" i="1" s="1"/>
  <c r="F24" i="1"/>
  <c r="F26" i="1" s="1"/>
  <c r="E24" i="1"/>
  <c r="E26" i="1" s="1"/>
  <c r="D24" i="1"/>
  <c r="D26" i="1" s="1"/>
  <c r="C24" i="1"/>
  <c r="C26" i="1" s="1"/>
  <c r="B24" i="1"/>
  <c r="Q18" i="1"/>
  <c r="P18" i="1"/>
  <c r="O18" i="1"/>
  <c r="N18" i="1"/>
  <c r="M18" i="1"/>
  <c r="L18" i="1"/>
  <c r="K18" i="1"/>
  <c r="J18" i="1"/>
  <c r="I18" i="1"/>
  <c r="H18" i="1"/>
  <c r="H20" i="1" s="1"/>
  <c r="G18" i="1"/>
  <c r="G20" i="1" s="1"/>
  <c r="F18" i="1"/>
  <c r="F20" i="1" s="1"/>
  <c r="E18" i="1"/>
  <c r="E20" i="1" s="1"/>
  <c r="D18" i="1"/>
  <c r="D20" i="1" s="1"/>
  <c r="C18" i="1"/>
  <c r="B18" i="1"/>
  <c r="D8" i="1"/>
  <c r="F8" i="1"/>
  <c r="Q12" i="1"/>
  <c r="P12" i="1"/>
  <c r="O12" i="1"/>
  <c r="N12" i="1"/>
  <c r="M12" i="1"/>
  <c r="L12" i="1"/>
  <c r="K12" i="1"/>
  <c r="J12" i="1"/>
  <c r="J14" i="1" s="1"/>
  <c r="I12" i="1"/>
  <c r="I14" i="1" s="1"/>
  <c r="H12" i="1"/>
  <c r="H14" i="1" s="1"/>
  <c r="G12" i="1"/>
  <c r="G14" i="1" s="1"/>
  <c r="F12" i="1"/>
  <c r="F14" i="1" s="1"/>
  <c r="E12" i="1"/>
  <c r="D12" i="1"/>
  <c r="C12" i="1"/>
  <c r="B12" i="1"/>
  <c r="C8" i="1"/>
  <c r="E8" i="1"/>
  <c r="G8" i="1"/>
  <c r="H8" i="1"/>
  <c r="J8" i="1"/>
  <c r="L8" i="1"/>
  <c r="M8" i="1"/>
  <c r="N8" i="1"/>
  <c r="O8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B6" i="1"/>
  <c r="Q32" i="1" l="1"/>
  <c r="I20" i="1"/>
  <c r="J20" i="1"/>
  <c r="Q20" i="1"/>
  <c r="B26" i="1"/>
  <c r="F32" i="1"/>
  <c r="N32" i="1"/>
  <c r="O32" i="1"/>
  <c r="P32" i="1"/>
  <c r="E32" i="1"/>
  <c r="B32" i="1"/>
  <c r="K26" i="1"/>
  <c r="L26" i="1"/>
  <c r="M26" i="1"/>
  <c r="N26" i="1"/>
  <c r="P26" i="1"/>
  <c r="O26" i="1"/>
  <c r="Q26" i="1"/>
  <c r="C20" i="1"/>
  <c r="M20" i="1"/>
  <c r="K20" i="1"/>
  <c r="L20" i="1"/>
  <c r="N20" i="1"/>
  <c r="O20" i="1"/>
  <c r="P20" i="1"/>
  <c r="B20" i="1"/>
  <c r="C14" i="1"/>
  <c r="D14" i="1"/>
  <c r="E14" i="1"/>
  <c r="B14" i="1"/>
  <c r="K14" i="1"/>
  <c r="L14" i="1"/>
  <c r="M14" i="1"/>
  <c r="N14" i="1"/>
  <c r="O14" i="1"/>
  <c r="P14" i="1"/>
  <c r="Q14" i="1"/>
</calcChain>
</file>

<file path=xl/sharedStrings.xml><?xml version="1.0" encoding="utf-8"?>
<sst xmlns="http://schemas.openxmlformats.org/spreadsheetml/2006/main" count="113" uniqueCount="28">
  <si>
    <t>암호문 : CSYEVIXIVQMREXIH</t>
    <phoneticPr fontId="1" type="noConversion"/>
  </si>
  <si>
    <t>키 n = 0 인 경우</t>
    <phoneticPr fontId="1" type="noConversion"/>
  </si>
  <si>
    <t>암호문</t>
    <phoneticPr fontId="1" type="noConversion"/>
  </si>
  <si>
    <t>C</t>
    <phoneticPr fontId="1" type="noConversion"/>
  </si>
  <si>
    <t>S</t>
    <phoneticPr fontId="1" type="noConversion"/>
  </si>
  <si>
    <t>Y</t>
    <phoneticPr fontId="1" type="noConversion"/>
  </si>
  <si>
    <t>E</t>
    <phoneticPr fontId="1" type="noConversion"/>
  </si>
  <si>
    <t>V</t>
    <phoneticPr fontId="1" type="noConversion"/>
  </si>
  <si>
    <t>I</t>
    <phoneticPr fontId="1" type="noConversion"/>
  </si>
  <si>
    <t>X</t>
    <phoneticPr fontId="1" type="noConversion"/>
  </si>
  <si>
    <t>Q</t>
    <phoneticPr fontId="1" type="noConversion"/>
  </si>
  <si>
    <t>M</t>
    <phoneticPr fontId="1" type="noConversion"/>
  </si>
  <si>
    <t>R</t>
    <phoneticPr fontId="1" type="noConversion"/>
  </si>
  <si>
    <t>H</t>
    <phoneticPr fontId="1" type="noConversion"/>
  </si>
  <si>
    <t>과정1</t>
    <phoneticPr fontId="1" type="noConversion"/>
  </si>
  <si>
    <t>과정2</t>
    <phoneticPr fontId="1" type="noConversion"/>
  </si>
  <si>
    <t>분석문</t>
    <phoneticPr fontId="1" type="noConversion"/>
  </si>
  <si>
    <t>1) 암호문 분석</t>
    <phoneticPr fontId="1" type="noConversion"/>
  </si>
  <si>
    <t>키 n = 1 인 경우</t>
    <phoneticPr fontId="1" type="noConversion"/>
  </si>
  <si>
    <t>키 n = 2 인 경우</t>
    <phoneticPr fontId="1" type="noConversion"/>
  </si>
  <si>
    <t>키 n = 3 인 경우</t>
    <phoneticPr fontId="1" type="noConversion"/>
  </si>
  <si>
    <t>키 n = 4 인 경우</t>
    <phoneticPr fontId="1" type="noConversion"/>
  </si>
  <si>
    <t>2) 키가 4 인 경우, 분석문이 you are terminated 이기 때문에 평문이다.</t>
    <phoneticPr fontId="1" type="noConversion"/>
  </si>
  <si>
    <t>중간 과정</t>
    <phoneticPr fontId="1" type="noConversion"/>
  </si>
  <si>
    <t>1) 문자를 아스키코드 숫자로 변화하는 CODE 함수 사용</t>
    <phoneticPr fontId="1" type="noConversion"/>
  </si>
  <si>
    <t>2 ) n 값 만큼 복호화</t>
    <phoneticPr fontId="1" type="noConversion"/>
  </si>
  <si>
    <t>3) 아스키코드 숫자를 문자로 변화하는 CHAR 함수와</t>
    <phoneticPr fontId="1" type="noConversion"/>
  </si>
  <si>
    <t xml:space="preserve">    대문자를 소문자로 바꾸는 LOWER 함수 사용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</si>
</sst>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BF4C-62B6-4E40-B288-5E9208CB08B3}">
  <dimension ref="A1:S34"/>
  <sheetViews>
    <sheetView tabSelected="1" topLeftCell="A16" zoomScaleNormal="100" workbookViewId="0">
      <selection activeCell="S31" sqref="S31"/>
    </sheetView>
  </sheetViews>
  <sheetFormatPr defaultRowHeight="17.399999999999999" x14ac:dyDescent="0.4"/>
  <cols>
    <col min="2" max="17" width="4.69921875" customWidth="1"/>
  </cols>
  <sheetData>
    <row r="1" spans="1:19" x14ac:dyDescent="0.4">
      <c r="A1" t="s">
        <v>0</v>
      </c>
    </row>
    <row r="3" spans="1:19" x14ac:dyDescent="0.4">
      <c r="A3" t="s">
        <v>17</v>
      </c>
    </row>
    <row r="4" spans="1:19" x14ac:dyDescent="0.4">
      <c r="A4" t="s">
        <v>1</v>
      </c>
      <c r="S4" t="s">
        <v>23</v>
      </c>
    </row>
    <row r="5" spans="1:19" x14ac:dyDescent="0.4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7</v>
      </c>
      <c r="K5" s="1" t="s">
        <v>10</v>
      </c>
      <c r="L5" s="1" t="s">
        <v>11</v>
      </c>
      <c r="M5" s="1" t="s">
        <v>12</v>
      </c>
      <c r="N5" s="1" t="s">
        <v>6</v>
      </c>
      <c r="O5" s="1" t="s">
        <v>9</v>
      </c>
      <c r="P5" s="1" t="s">
        <v>8</v>
      </c>
      <c r="Q5" s="1" t="s">
        <v>13</v>
      </c>
      <c r="S5" t="s">
        <v>24</v>
      </c>
    </row>
    <row r="6" spans="1:19" x14ac:dyDescent="0.4">
      <c r="A6" s="1" t="s">
        <v>14</v>
      </c>
      <c r="B6" s="1">
        <f>CODE(B5)</f>
        <v>67</v>
      </c>
      <c r="C6" s="1">
        <f t="shared" ref="C6:Q6" si="0">CODE(C5)</f>
        <v>83</v>
      </c>
      <c r="D6" s="1">
        <f t="shared" si="0"/>
        <v>89</v>
      </c>
      <c r="E6" s="1">
        <f t="shared" si="0"/>
        <v>69</v>
      </c>
      <c r="F6" s="1">
        <f t="shared" si="0"/>
        <v>86</v>
      </c>
      <c r="G6" s="1">
        <f t="shared" si="0"/>
        <v>73</v>
      </c>
      <c r="H6" s="1">
        <f t="shared" si="0"/>
        <v>88</v>
      </c>
      <c r="I6" s="1">
        <f t="shared" si="0"/>
        <v>73</v>
      </c>
      <c r="J6" s="1">
        <f t="shared" si="0"/>
        <v>86</v>
      </c>
      <c r="K6" s="1">
        <f t="shared" si="0"/>
        <v>81</v>
      </c>
      <c r="L6" s="1">
        <f t="shared" si="0"/>
        <v>77</v>
      </c>
      <c r="M6" s="1">
        <f t="shared" si="0"/>
        <v>82</v>
      </c>
      <c r="N6" s="1">
        <f t="shared" si="0"/>
        <v>69</v>
      </c>
      <c r="O6" s="1">
        <f t="shared" si="0"/>
        <v>88</v>
      </c>
      <c r="P6" s="1">
        <f t="shared" si="0"/>
        <v>73</v>
      </c>
      <c r="Q6" s="1">
        <f t="shared" si="0"/>
        <v>72</v>
      </c>
      <c r="S6" t="s">
        <v>25</v>
      </c>
    </row>
    <row r="7" spans="1:19" x14ac:dyDescent="0.4">
      <c r="A7" s="1" t="s">
        <v>15</v>
      </c>
      <c r="B7" s="1">
        <f>IF(B6-0&lt;65, B6-0+26, B6-0)</f>
        <v>67</v>
      </c>
      <c r="C7" s="1">
        <f t="shared" ref="C7:Q7" si="1">IF(C6-0&lt;65, C6-0+26, C6-0)</f>
        <v>83</v>
      </c>
      <c r="D7" s="1">
        <f t="shared" si="1"/>
        <v>89</v>
      </c>
      <c r="E7" s="1">
        <f t="shared" si="1"/>
        <v>69</v>
      </c>
      <c r="F7" s="1">
        <f t="shared" si="1"/>
        <v>86</v>
      </c>
      <c r="G7" s="1">
        <f t="shared" si="1"/>
        <v>73</v>
      </c>
      <c r="H7" s="1">
        <f t="shared" si="1"/>
        <v>88</v>
      </c>
      <c r="I7" s="1">
        <f t="shared" si="1"/>
        <v>73</v>
      </c>
      <c r="J7" s="1">
        <f t="shared" si="1"/>
        <v>86</v>
      </c>
      <c r="K7" s="1">
        <f t="shared" si="1"/>
        <v>81</v>
      </c>
      <c r="L7" s="1">
        <f t="shared" si="1"/>
        <v>77</v>
      </c>
      <c r="M7" s="1">
        <f t="shared" si="1"/>
        <v>82</v>
      </c>
      <c r="N7" s="1">
        <f t="shared" si="1"/>
        <v>69</v>
      </c>
      <c r="O7" s="1">
        <f t="shared" si="1"/>
        <v>88</v>
      </c>
      <c r="P7" s="1">
        <f t="shared" si="1"/>
        <v>73</v>
      </c>
      <c r="Q7" s="1">
        <f t="shared" si="1"/>
        <v>72</v>
      </c>
      <c r="S7" t="s">
        <v>26</v>
      </c>
    </row>
    <row r="8" spans="1:19" x14ac:dyDescent="0.4">
      <c r="A8" s="1" t="s">
        <v>16</v>
      </c>
      <c r="B8" s="1" t="str">
        <f>LOWER(CHAR(B7))</f>
        <v>c</v>
      </c>
      <c r="C8" s="1" t="str">
        <f t="shared" ref="C8:Q8" si="2">LOWER(CHAR(C7))</f>
        <v>s</v>
      </c>
      <c r="D8" s="1" t="str">
        <f t="shared" si="2"/>
        <v>y</v>
      </c>
      <c r="E8" s="1" t="str">
        <f t="shared" si="2"/>
        <v>e</v>
      </c>
      <c r="F8" s="1" t="str">
        <f t="shared" si="2"/>
        <v>v</v>
      </c>
      <c r="G8" s="1" t="str">
        <f t="shared" si="2"/>
        <v>i</v>
      </c>
      <c r="H8" s="1" t="str">
        <f t="shared" si="2"/>
        <v>x</v>
      </c>
      <c r="I8" s="1" t="str">
        <f t="shared" si="2"/>
        <v>i</v>
      </c>
      <c r="J8" s="1" t="str">
        <f t="shared" si="2"/>
        <v>v</v>
      </c>
      <c r="K8" s="1" t="str">
        <f t="shared" si="2"/>
        <v>q</v>
      </c>
      <c r="L8" s="1" t="str">
        <f t="shared" si="2"/>
        <v>m</v>
      </c>
      <c r="M8" s="1" t="str">
        <f t="shared" si="2"/>
        <v>r</v>
      </c>
      <c r="N8" s="1" t="str">
        <f t="shared" si="2"/>
        <v>e</v>
      </c>
      <c r="O8" s="1" t="str">
        <f t="shared" si="2"/>
        <v>x</v>
      </c>
      <c r="P8" s="1" t="str">
        <f t="shared" si="2"/>
        <v>i</v>
      </c>
      <c r="Q8" s="1" t="str">
        <f t="shared" si="2"/>
        <v>h</v>
      </c>
      <c r="S8" t="s">
        <v>27</v>
      </c>
    </row>
    <row r="10" spans="1:19" x14ac:dyDescent="0.4">
      <c r="A10" t="s">
        <v>18</v>
      </c>
    </row>
    <row r="11" spans="1:19" x14ac:dyDescent="0.4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8</v>
      </c>
      <c r="J11" s="1" t="s">
        <v>7</v>
      </c>
      <c r="K11" s="1" t="s">
        <v>10</v>
      </c>
      <c r="L11" s="1" t="s">
        <v>11</v>
      </c>
      <c r="M11" s="1" t="s">
        <v>12</v>
      </c>
      <c r="N11" s="1" t="s">
        <v>6</v>
      </c>
      <c r="O11" s="1" t="s">
        <v>9</v>
      </c>
      <c r="P11" s="1" t="s">
        <v>8</v>
      </c>
      <c r="Q11" s="1" t="s">
        <v>13</v>
      </c>
    </row>
    <row r="12" spans="1:19" x14ac:dyDescent="0.4">
      <c r="A12" s="1" t="s">
        <v>14</v>
      </c>
      <c r="B12" s="1">
        <f>CODE(B11)</f>
        <v>67</v>
      </c>
      <c r="C12" s="1">
        <f t="shared" ref="C12:Q12" si="3">CODE(C11)</f>
        <v>83</v>
      </c>
      <c r="D12" s="1">
        <f t="shared" si="3"/>
        <v>89</v>
      </c>
      <c r="E12" s="1">
        <f t="shared" si="3"/>
        <v>69</v>
      </c>
      <c r="F12" s="1">
        <f t="shared" si="3"/>
        <v>86</v>
      </c>
      <c r="G12" s="1">
        <f t="shared" si="3"/>
        <v>73</v>
      </c>
      <c r="H12" s="1">
        <f t="shared" si="3"/>
        <v>88</v>
      </c>
      <c r="I12" s="1">
        <f t="shared" si="3"/>
        <v>73</v>
      </c>
      <c r="J12" s="1">
        <f t="shared" si="3"/>
        <v>86</v>
      </c>
      <c r="K12" s="1">
        <f t="shared" si="3"/>
        <v>81</v>
      </c>
      <c r="L12" s="1">
        <f t="shared" si="3"/>
        <v>77</v>
      </c>
      <c r="M12" s="1">
        <f t="shared" si="3"/>
        <v>82</v>
      </c>
      <c r="N12" s="1">
        <f t="shared" si="3"/>
        <v>69</v>
      </c>
      <c r="O12" s="1">
        <f t="shared" si="3"/>
        <v>88</v>
      </c>
      <c r="P12" s="1">
        <f t="shared" si="3"/>
        <v>73</v>
      </c>
      <c r="Q12" s="1">
        <f t="shared" si="3"/>
        <v>72</v>
      </c>
    </row>
    <row r="13" spans="1:19" x14ac:dyDescent="0.4">
      <c r="A13" s="1" t="s">
        <v>15</v>
      </c>
      <c r="B13" s="1">
        <f>IF(B12-1&lt;65, B12-1+26, B12-1)</f>
        <v>66</v>
      </c>
      <c r="C13" s="1">
        <f t="shared" ref="C13:Q13" si="4">IF(C12-1&lt;65, C12-1+26, C12-1)</f>
        <v>82</v>
      </c>
      <c r="D13" s="1">
        <f t="shared" si="4"/>
        <v>88</v>
      </c>
      <c r="E13" s="1">
        <f t="shared" si="4"/>
        <v>68</v>
      </c>
      <c r="F13" s="1">
        <f t="shared" si="4"/>
        <v>85</v>
      </c>
      <c r="G13" s="1">
        <f t="shared" si="4"/>
        <v>72</v>
      </c>
      <c r="H13" s="1">
        <f t="shared" si="4"/>
        <v>87</v>
      </c>
      <c r="I13" s="1">
        <f t="shared" si="4"/>
        <v>72</v>
      </c>
      <c r="J13" s="1">
        <f t="shared" si="4"/>
        <v>85</v>
      </c>
      <c r="K13" s="1">
        <f t="shared" si="4"/>
        <v>80</v>
      </c>
      <c r="L13" s="1">
        <f t="shared" si="4"/>
        <v>76</v>
      </c>
      <c r="M13" s="1">
        <f t="shared" si="4"/>
        <v>81</v>
      </c>
      <c r="N13" s="1">
        <f t="shared" si="4"/>
        <v>68</v>
      </c>
      <c r="O13" s="1">
        <f t="shared" si="4"/>
        <v>87</v>
      </c>
      <c r="P13" s="1">
        <f t="shared" si="4"/>
        <v>72</v>
      </c>
      <c r="Q13" s="1">
        <f t="shared" si="4"/>
        <v>71</v>
      </c>
    </row>
    <row r="14" spans="1:19" x14ac:dyDescent="0.4">
      <c r="A14" s="1" t="s">
        <v>16</v>
      </c>
      <c r="B14" s="1" t="str">
        <f>LOWER(CHAR(B13))</f>
        <v>b</v>
      </c>
      <c r="C14" s="1" t="str">
        <f t="shared" ref="C14" si="5">LOWER(CHAR(C13))</f>
        <v>r</v>
      </c>
      <c r="D14" s="1" t="str">
        <f t="shared" ref="D14" si="6">LOWER(CHAR(D13))</f>
        <v>x</v>
      </c>
      <c r="E14" s="1" t="str">
        <f t="shared" ref="E14" si="7">LOWER(CHAR(E13))</f>
        <v>d</v>
      </c>
      <c r="F14" s="1" t="str">
        <f t="shared" ref="F14" si="8">LOWER(CHAR(F13))</f>
        <v>u</v>
      </c>
      <c r="G14" s="1" t="str">
        <f t="shared" ref="G14" si="9">LOWER(CHAR(G13))</f>
        <v>h</v>
      </c>
      <c r="H14" s="1" t="str">
        <f t="shared" ref="H14" si="10">LOWER(CHAR(H13))</f>
        <v>w</v>
      </c>
      <c r="I14" s="1" t="str">
        <f t="shared" ref="I14" si="11">LOWER(CHAR(I13))</f>
        <v>h</v>
      </c>
      <c r="J14" s="1" t="str">
        <f t="shared" ref="J14" si="12">LOWER(CHAR(J13))</f>
        <v>u</v>
      </c>
      <c r="K14" s="1" t="str">
        <f t="shared" ref="K14" si="13">LOWER(CHAR(K13))</f>
        <v>p</v>
      </c>
      <c r="L14" s="1" t="str">
        <f t="shared" ref="L14" si="14">LOWER(CHAR(L13))</f>
        <v>l</v>
      </c>
      <c r="M14" s="1" t="str">
        <f t="shared" ref="M14" si="15">LOWER(CHAR(M13))</f>
        <v>q</v>
      </c>
      <c r="N14" s="1" t="str">
        <f t="shared" ref="N14" si="16">LOWER(CHAR(N13))</f>
        <v>d</v>
      </c>
      <c r="O14" s="1" t="str">
        <f t="shared" ref="O14" si="17">LOWER(CHAR(O13))</f>
        <v>w</v>
      </c>
      <c r="P14" s="1" t="str">
        <f t="shared" ref="P14" si="18">LOWER(CHAR(P13))</f>
        <v>h</v>
      </c>
      <c r="Q14" s="1" t="str">
        <f t="shared" ref="Q14" si="19">LOWER(CHAR(Q13))</f>
        <v>g</v>
      </c>
    </row>
    <row r="16" spans="1:19" x14ac:dyDescent="0.4">
      <c r="A16" s="2" t="s">
        <v>19</v>
      </c>
    </row>
    <row r="17" spans="1:17" x14ac:dyDescent="0.4">
      <c r="A17" s="1" t="s">
        <v>2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  <c r="G17" s="1" t="s">
        <v>8</v>
      </c>
      <c r="H17" s="1" t="s">
        <v>9</v>
      </c>
      <c r="I17" s="1" t="s">
        <v>8</v>
      </c>
      <c r="J17" s="1" t="s">
        <v>7</v>
      </c>
      <c r="K17" s="1" t="s">
        <v>10</v>
      </c>
      <c r="L17" s="1" t="s">
        <v>11</v>
      </c>
      <c r="M17" s="1" t="s">
        <v>12</v>
      </c>
      <c r="N17" s="1" t="s">
        <v>6</v>
      </c>
      <c r="O17" s="1" t="s">
        <v>9</v>
      </c>
      <c r="P17" s="1" t="s">
        <v>8</v>
      </c>
      <c r="Q17" s="1" t="s">
        <v>13</v>
      </c>
    </row>
    <row r="18" spans="1:17" x14ac:dyDescent="0.4">
      <c r="A18" s="1" t="s">
        <v>14</v>
      </c>
      <c r="B18" s="1">
        <f>CODE(B17)</f>
        <v>67</v>
      </c>
      <c r="C18" s="1">
        <f t="shared" ref="C18:Q18" si="20">CODE(C17)</f>
        <v>83</v>
      </c>
      <c r="D18" s="1">
        <f t="shared" si="20"/>
        <v>89</v>
      </c>
      <c r="E18" s="1">
        <f t="shared" si="20"/>
        <v>69</v>
      </c>
      <c r="F18" s="1">
        <f t="shared" si="20"/>
        <v>86</v>
      </c>
      <c r="G18" s="1">
        <f t="shared" si="20"/>
        <v>73</v>
      </c>
      <c r="H18" s="1">
        <f t="shared" si="20"/>
        <v>88</v>
      </c>
      <c r="I18" s="1">
        <f t="shared" si="20"/>
        <v>73</v>
      </c>
      <c r="J18" s="1">
        <f t="shared" si="20"/>
        <v>86</v>
      </c>
      <c r="K18" s="1">
        <f t="shared" si="20"/>
        <v>81</v>
      </c>
      <c r="L18" s="1">
        <f t="shared" si="20"/>
        <v>77</v>
      </c>
      <c r="M18" s="1">
        <f t="shared" si="20"/>
        <v>82</v>
      </c>
      <c r="N18" s="1">
        <f t="shared" si="20"/>
        <v>69</v>
      </c>
      <c r="O18" s="1">
        <f t="shared" si="20"/>
        <v>88</v>
      </c>
      <c r="P18" s="1">
        <f t="shared" si="20"/>
        <v>73</v>
      </c>
      <c r="Q18" s="1">
        <f t="shared" si="20"/>
        <v>72</v>
      </c>
    </row>
    <row r="19" spans="1:17" x14ac:dyDescent="0.4">
      <c r="A19" s="1" t="s">
        <v>15</v>
      </c>
      <c r="B19" s="1">
        <f>IF(B18-2&lt;65, B18-2+26, B18-2)</f>
        <v>65</v>
      </c>
      <c r="C19" s="1">
        <f t="shared" ref="C19:Q19" si="21">IF(C18-2&lt;65, C18-2+26, C18-2)</f>
        <v>81</v>
      </c>
      <c r="D19" s="1">
        <f t="shared" si="21"/>
        <v>87</v>
      </c>
      <c r="E19" s="1">
        <f t="shared" si="21"/>
        <v>67</v>
      </c>
      <c r="F19" s="1">
        <f t="shared" si="21"/>
        <v>84</v>
      </c>
      <c r="G19" s="1">
        <f t="shared" si="21"/>
        <v>71</v>
      </c>
      <c r="H19" s="1">
        <f t="shared" si="21"/>
        <v>86</v>
      </c>
      <c r="I19" s="1">
        <f t="shared" si="21"/>
        <v>71</v>
      </c>
      <c r="J19" s="1">
        <f t="shared" si="21"/>
        <v>84</v>
      </c>
      <c r="K19" s="1">
        <f t="shared" si="21"/>
        <v>79</v>
      </c>
      <c r="L19" s="1">
        <f t="shared" si="21"/>
        <v>75</v>
      </c>
      <c r="M19" s="1">
        <f t="shared" si="21"/>
        <v>80</v>
      </c>
      <c r="N19" s="1">
        <f t="shared" si="21"/>
        <v>67</v>
      </c>
      <c r="O19" s="1">
        <f t="shared" si="21"/>
        <v>86</v>
      </c>
      <c r="P19" s="1">
        <f t="shared" si="21"/>
        <v>71</v>
      </c>
      <c r="Q19" s="1">
        <f t="shared" si="21"/>
        <v>70</v>
      </c>
    </row>
    <row r="20" spans="1:17" x14ac:dyDescent="0.4">
      <c r="A20" s="1" t="s">
        <v>16</v>
      </c>
      <c r="B20" s="1" t="str">
        <f>LOWER(CHAR(B19))</f>
        <v>a</v>
      </c>
      <c r="C20" s="1" t="str">
        <f t="shared" ref="C20" si="22">LOWER(CHAR(C19))</f>
        <v>q</v>
      </c>
      <c r="D20" s="1" t="str">
        <f t="shared" ref="D20" si="23">LOWER(CHAR(D19))</f>
        <v>w</v>
      </c>
      <c r="E20" s="1" t="str">
        <f t="shared" ref="E20" si="24">LOWER(CHAR(E19))</f>
        <v>c</v>
      </c>
      <c r="F20" s="1" t="str">
        <f t="shared" ref="F20" si="25">LOWER(CHAR(F19))</f>
        <v>t</v>
      </c>
      <c r="G20" s="1" t="str">
        <f t="shared" ref="G20" si="26">LOWER(CHAR(G19))</f>
        <v>g</v>
      </c>
      <c r="H20" s="1" t="str">
        <f t="shared" ref="H20" si="27">LOWER(CHAR(H19))</f>
        <v>v</v>
      </c>
      <c r="I20" s="1" t="str">
        <f t="shared" ref="I20" si="28">LOWER(CHAR(I19))</f>
        <v>g</v>
      </c>
      <c r="J20" s="1" t="str">
        <f t="shared" ref="J20" si="29">LOWER(CHAR(J19))</f>
        <v>t</v>
      </c>
      <c r="K20" s="1" t="str">
        <f t="shared" ref="K20" si="30">LOWER(CHAR(K19))</f>
        <v>o</v>
      </c>
      <c r="L20" s="1" t="str">
        <f t="shared" ref="L20" si="31">LOWER(CHAR(L19))</f>
        <v>k</v>
      </c>
      <c r="M20" s="1" t="str">
        <f t="shared" ref="M20" si="32">LOWER(CHAR(M19))</f>
        <v>p</v>
      </c>
      <c r="N20" s="1" t="str">
        <f t="shared" ref="N20" si="33">LOWER(CHAR(N19))</f>
        <v>c</v>
      </c>
      <c r="O20" s="1" t="str">
        <f t="shared" ref="O20" si="34">LOWER(CHAR(O19))</f>
        <v>v</v>
      </c>
      <c r="P20" s="1" t="str">
        <f t="shared" ref="P20" si="35">LOWER(CHAR(P19))</f>
        <v>g</v>
      </c>
      <c r="Q20" s="1" t="str">
        <f t="shared" ref="Q20" si="36">LOWER(CHAR(Q19))</f>
        <v>f</v>
      </c>
    </row>
    <row r="22" spans="1:17" x14ac:dyDescent="0.4">
      <c r="A22" s="2" t="s">
        <v>20</v>
      </c>
    </row>
    <row r="23" spans="1:17" x14ac:dyDescent="0.4">
      <c r="A23" s="1" t="s">
        <v>2</v>
      </c>
      <c r="B23" s="1" t="s">
        <v>3</v>
      </c>
      <c r="C23" s="1" t="s">
        <v>4</v>
      </c>
      <c r="D23" s="1" t="s">
        <v>5</v>
      </c>
      <c r="E23" s="1" t="s">
        <v>6</v>
      </c>
      <c r="F23" s="1" t="s">
        <v>7</v>
      </c>
      <c r="G23" s="1" t="s">
        <v>8</v>
      </c>
      <c r="H23" s="1" t="s">
        <v>9</v>
      </c>
      <c r="I23" s="1" t="s">
        <v>8</v>
      </c>
      <c r="J23" s="1" t="s">
        <v>7</v>
      </c>
      <c r="K23" s="1" t="s">
        <v>10</v>
      </c>
      <c r="L23" s="1" t="s">
        <v>11</v>
      </c>
      <c r="M23" s="1" t="s">
        <v>12</v>
      </c>
      <c r="N23" s="1" t="s">
        <v>6</v>
      </c>
      <c r="O23" s="1" t="s">
        <v>9</v>
      </c>
      <c r="P23" s="1" t="s">
        <v>8</v>
      </c>
      <c r="Q23" s="1" t="s">
        <v>13</v>
      </c>
    </row>
    <row r="24" spans="1:17" x14ac:dyDescent="0.4">
      <c r="A24" s="1" t="s">
        <v>14</v>
      </c>
      <c r="B24" s="1">
        <f>CODE(B23)</f>
        <v>67</v>
      </c>
      <c r="C24" s="1">
        <f t="shared" ref="C24:Q24" si="37">CODE(C23)</f>
        <v>83</v>
      </c>
      <c r="D24" s="1">
        <f t="shared" si="37"/>
        <v>89</v>
      </c>
      <c r="E24" s="1">
        <f t="shared" si="37"/>
        <v>69</v>
      </c>
      <c r="F24" s="1">
        <f t="shared" si="37"/>
        <v>86</v>
      </c>
      <c r="G24" s="1">
        <f t="shared" si="37"/>
        <v>73</v>
      </c>
      <c r="H24" s="1">
        <f t="shared" si="37"/>
        <v>88</v>
      </c>
      <c r="I24" s="1">
        <f t="shared" si="37"/>
        <v>73</v>
      </c>
      <c r="J24" s="1">
        <f t="shared" si="37"/>
        <v>86</v>
      </c>
      <c r="K24" s="1">
        <f t="shared" si="37"/>
        <v>81</v>
      </c>
      <c r="L24" s="1">
        <f t="shared" si="37"/>
        <v>77</v>
      </c>
      <c r="M24" s="1">
        <f t="shared" si="37"/>
        <v>82</v>
      </c>
      <c r="N24" s="1">
        <f t="shared" si="37"/>
        <v>69</v>
      </c>
      <c r="O24" s="1">
        <f t="shared" si="37"/>
        <v>88</v>
      </c>
      <c r="P24" s="1">
        <f t="shared" si="37"/>
        <v>73</v>
      </c>
      <c r="Q24" s="1">
        <f t="shared" si="37"/>
        <v>72</v>
      </c>
    </row>
    <row r="25" spans="1:17" x14ac:dyDescent="0.4">
      <c r="A25" s="1" t="s">
        <v>15</v>
      </c>
      <c r="B25" s="1">
        <f>IF(B24-3&lt;65, B24-3+26, B24-3)</f>
        <v>90</v>
      </c>
      <c r="C25" s="1">
        <f t="shared" ref="C25:Q25" si="38">IF(C24-3&lt;65, C24-3+26, C24-3)</f>
        <v>80</v>
      </c>
      <c r="D25" s="1">
        <f t="shared" si="38"/>
        <v>86</v>
      </c>
      <c r="E25" s="1">
        <f t="shared" si="38"/>
        <v>66</v>
      </c>
      <c r="F25" s="1">
        <f t="shared" si="38"/>
        <v>83</v>
      </c>
      <c r="G25" s="1">
        <f t="shared" si="38"/>
        <v>70</v>
      </c>
      <c r="H25" s="1">
        <f t="shared" si="38"/>
        <v>85</v>
      </c>
      <c r="I25" s="1">
        <f t="shared" si="38"/>
        <v>70</v>
      </c>
      <c r="J25" s="1">
        <f t="shared" si="38"/>
        <v>83</v>
      </c>
      <c r="K25" s="1">
        <f t="shared" si="38"/>
        <v>78</v>
      </c>
      <c r="L25" s="1">
        <f t="shared" si="38"/>
        <v>74</v>
      </c>
      <c r="M25" s="1">
        <f t="shared" si="38"/>
        <v>79</v>
      </c>
      <c r="N25" s="1">
        <f t="shared" si="38"/>
        <v>66</v>
      </c>
      <c r="O25" s="1">
        <f t="shared" si="38"/>
        <v>85</v>
      </c>
      <c r="P25" s="1">
        <f t="shared" si="38"/>
        <v>70</v>
      </c>
      <c r="Q25" s="1">
        <f t="shared" si="38"/>
        <v>69</v>
      </c>
    </row>
    <row r="26" spans="1:17" x14ac:dyDescent="0.4">
      <c r="A26" s="1" t="s">
        <v>16</v>
      </c>
      <c r="B26" s="1" t="str">
        <f>LOWER(CHAR(B25))</f>
        <v>z</v>
      </c>
      <c r="C26" s="1" t="str">
        <f t="shared" ref="C26" si="39">LOWER(CHAR(C25))</f>
        <v>p</v>
      </c>
      <c r="D26" s="1" t="str">
        <f t="shared" ref="D26" si="40">LOWER(CHAR(D25))</f>
        <v>v</v>
      </c>
      <c r="E26" s="1" t="str">
        <f t="shared" ref="E26" si="41">LOWER(CHAR(E25))</f>
        <v>b</v>
      </c>
      <c r="F26" s="1" t="str">
        <f t="shared" ref="F26" si="42">LOWER(CHAR(F25))</f>
        <v>s</v>
      </c>
      <c r="G26" s="1" t="str">
        <f t="shared" ref="G26" si="43">LOWER(CHAR(G25))</f>
        <v>f</v>
      </c>
      <c r="H26" s="1" t="str">
        <f t="shared" ref="H26" si="44">LOWER(CHAR(H25))</f>
        <v>u</v>
      </c>
      <c r="I26" s="1" t="str">
        <f t="shared" ref="I26" si="45">LOWER(CHAR(I25))</f>
        <v>f</v>
      </c>
      <c r="J26" s="1" t="str">
        <f t="shared" ref="J26" si="46">LOWER(CHAR(J25))</f>
        <v>s</v>
      </c>
      <c r="K26" s="1" t="str">
        <f t="shared" ref="K26" si="47">LOWER(CHAR(K25))</f>
        <v>n</v>
      </c>
      <c r="L26" s="1" t="str">
        <f t="shared" ref="L26" si="48">LOWER(CHAR(L25))</f>
        <v>j</v>
      </c>
      <c r="M26" s="1" t="str">
        <f t="shared" ref="M26" si="49">LOWER(CHAR(M25))</f>
        <v>o</v>
      </c>
      <c r="N26" s="1" t="str">
        <f t="shared" ref="N26" si="50">LOWER(CHAR(N25))</f>
        <v>b</v>
      </c>
      <c r="O26" s="1" t="str">
        <f t="shared" ref="O26" si="51">LOWER(CHAR(O25))</f>
        <v>u</v>
      </c>
      <c r="P26" s="1" t="str">
        <f t="shared" ref="P26" si="52">LOWER(CHAR(P25))</f>
        <v>f</v>
      </c>
      <c r="Q26" s="1" t="str">
        <f t="shared" ref="Q26" si="53">LOWER(CHAR(Q25))</f>
        <v>e</v>
      </c>
    </row>
    <row r="28" spans="1:17" x14ac:dyDescent="0.4">
      <c r="A28" s="2" t="s">
        <v>21</v>
      </c>
    </row>
    <row r="29" spans="1:17" x14ac:dyDescent="0.4">
      <c r="A29" s="1" t="s">
        <v>2</v>
      </c>
      <c r="B29" s="1" t="s">
        <v>3</v>
      </c>
      <c r="C29" s="1" t="s">
        <v>4</v>
      </c>
      <c r="D29" s="1" t="s">
        <v>5</v>
      </c>
      <c r="E29" s="1" t="s">
        <v>6</v>
      </c>
      <c r="F29" s="1" t="s">
        <v>7</v>
      </c>
      <c r="G29" s="1" t="s">
        <v>8</v>
      </c>
      <c r="H29" s="1" t="s">
        <v>9</v>
      </c>
      <c r="I29" s="1" t="s">
        <v>8</v>
      </c>
      <c r="J29" s="1" t="s">
        <v>7</v>
      </c>
      <c r="K29" s="1" t="s">
        <v>10</v>
      </c>
      <c r="L29" s="1" t="s">
        <v>11</v>
      </c>
      <c r="M29" s="1" t="s">
        <v>12</v>
      </c>
      <c r="N29" s="1" t="s">
        <v>6</v>
      </c>
      <c r="O29" s="1" t="s">
        <v>9</v>
      </c>
      <c r="P29" s="1" t="s">
        <v>8</v>
      </c>
      <c r="Q29" s="1" t="s">
        <v>13</v>
      </c>
    </row>
    <row r="30" spans="1:17" x14ac:dyDescent="0.4">
      <c r="A30" s="1" t="s">
        <v>14</v>
      </c>
      <c r="B30" s="1">
        <f>CODE(B29)</f>
        <v>67</v>
      </c>
      <c r="C30" s="1">
        <f t="shared" ref="C30:Q30" si="54">CODE(C29)</f>
        <v>83</v>
      </c>
      <c r="D30" s="1">
        <f t="shared" si="54"/>
        <v>89</v>
      </c>
      <c r="E30" s="1">
        <f t="shared" si="54"/>
        <v>69</v>
      </c>
      <c r="F30" s="1">
        <f t="shared" si="54"/>
        <v>86</v>
      </c>
      <c r="G30" s="1">
        <f t="shared" si="54"/>
        <v>73</v>
      </c>
      <c r="H30" s="1">
        <f t="shared" si="54"/>
        <v>88</v>
      </c>
      <c r="I30" s="1">
        <f t="shared" si="54"/>
        <v>73</v>
      </c>
      <c r="J30" s="1">
        <f t="shared" si="54"/>
        <v>86</v>
      </c>
      <c r="K30" s="1">
        <f t="shared" si="54"/>
        <v>81</v>
      </c>
      <c r="L30" s="1">
        <f t="shared" si="54"/>
        <v>77</v>
      </c>
      <c r="M30" s="1">
        <f t="shared" si="54"/>
        <v>82</v>
      </c>
      <c r="N30" s="1">
        <f t="shared" si="54"/>
        <v>69</v>
      </c>
      <c r="O30" s="1">
        <f t="shared" si="54"/>
        <v>88</v>
      </c>
      <c r="P30" s="1">
        <f t="shared" si="54"/>
        <v>73</v>
      </c>
      <c r="Q30" s="1">
        <f t="shared" si="54"/>
        <v>72</v>
      </c>
    </row>
    <row r="31" spans="1:17" x14ac:dyDescent="0.4">
      <c r="A31" s="1" t="s">
        <v>15</v>
      </c>
      <c r="B31" s="1">
        <f>IF(B30-4&lt;65, B30-4+26, B30-4)</f>
        <v>89</v>
      </c>
      <c r="C31" s="1">
        <f t="shared" ref="C31:Q31" si="55">IF(C30-4&lt;65, C30-4+26, C30-4)</f>
        <v>79</v>
      </c>
      <c r="D31" s="1">
        <f t="shared" si="55"/>
        <v>85</v>
      </c>
      <c r="E31" s="1">
        <f t="shared" si="55"/>
        <v>65</v>
      </c>
      <c r="F31" s="1">
        <f t="shared" si="55"/>
        <v>82</v>
      </c>
      <c r="G31" s="1">
        <f t="shared" si="55"/>
        <v>69</v>
      </c>
      <c r="H31" s="1">
        <f t="shared" si="55"/>
        <v>84</v>
      </c>
      <c r="I31" s="1">
        <f t="shared" si="55"/>
        <v>69</v>
      </c>
      <c r="J31" s="1">
        <f t="shared" si="55"/>
        <v>82</v>
      </c>
      <c r="K31" s="1">
        <f t="shared" si="55"/>
        <v>77</v>
      </c>
      <c r="L31" s="1">
        <f t="shared" si="55"/>
        <v>73</v>
      </c>
      <c r="M31" s="1">
        <f t="shared" si="55"/>
        <v>78</v>
      </c>
      <c r="N31" s="1">
        <f t="shared" si="55"/>
        <v>65</v>
      </c>
      <c r="O31" s="1">
        <f t="shared" si="55"/>
        <v>84</v>
      </c>
      <c r="P31" s="1">
        <f t="shared" si="55"/>
        <v>69</v>
      </c>
      <c r="Q31" s="1">
        <f t="shared" si="55"/>
        <v>68</v>
      </c>
    </row>
    <row r="32" spans="1:17" x14ac:dyDescent="0.4">
      <c r="A32" s="1" t="s">
        <v>16</v>
      </c>
      <c r="B32" s="1" t="str">
        <f>LOWER(CHAR(B31))</f>
        <v>y</v>
      </c>
      <c r="C32" s="1" t="str">
        <f t="shared" ref="C32" si="56">LOWER(CHAR(C31))</f>
        <v>o</v>
      </c>
      <c r="D32" s="1" t="str">
        <f t="shared" ref="D32" si="57">LOWER(CHAR(D31))</f>
        <v>u</v>
      </c>
      <c r="E32" s="1" t="str">
        <f t="shared" ref="E32" si="58">LOWER(CHAR(E31))</f>
        <v>a</v>
      </c>
      <c r="F32" s="1" t="str">
        <f t="shared" ref="F32" si="59">LOWER(CHAR(F31))</f>
        <v>r</v>
      </c>
      <c r="G32" s="1" t="str">
        <f t="shared" ref="G32" si="60">LOWER(CHAR(G31))</f>
        <v>e</v>
      </c>
      <c r="H32" s="1" t="str">
        <f t="shared" ref="H32" si="61">LOWER(CHAR(H31))</f>
        <v>t</v>
      </c>
      <c r="I32" s="1" t="str">
        <f t="shared" ref="I32" si="62">LOWER(CHAR(I31))</f>
        <v>e</v>
      </c>
      <c r="J32" s="1" t="str">
        <f t="shared" ref="J32" si="63">LOWER(CHAR(J31))</f>
        <v>r</v>
      </c>
      <c r="K32" s="1" t="str">
        <f t="shared" ref="K32" si="64">LOWER(CHAR(K31))</f>
        <v>m</v>
      </c>
      <c r="L32" s="1" t="str">
        <f t="shared" ref="L32" si="65">LOWER(CHAR(L31))</f>
        <v>i</v>
      </c>
      <c r="M32" s="1" t="str">
        <f t="shared" ref="M32" si="66">LOWER(CHAR(M31))</f>
        <v>n</v>
      </c>
      <c r="N32" s="1" t="str">
        <f t="shared" ref="N32" si="67">LOWER(CHAR(N31))</f>
        <v>a</v>
      </c>
      <c r="O32" s="1" t="str">
        <f t="shared" ref="O32" si="68">LOWER(CHAR(O31))</f>
        <v>t</v>
      </c>
      <c r="P32" s="1" t="str">
        <f t="shared" ref="P32" si="69">LOWER(CHAR(P31))</f>
        <v>e</v>
      </c>
      <c r="Q32" s="1" t="str">
        <f t="shared" ref="Q32" si="70">LOWER(CHAR(Q31))</f>
        <v>d</v>
      </c>
    </row>
    <row r="34" spans="1:1" x14ac:dyDescent="0.4">
      <c r="A34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지현 곽</dc:creator>
  <cp:lastModifiedBy>지현 곽</cp:lastModifiedBy>
  <dcterms:created xsi:type="dcterms:W3CDTF">2024-03-06T08:30:11Z</dcterms:created>
  <dcterms:modified xsi:type="dcterms:W3CDTF">2024-03-13T05:15:14Z</dcterms:modified>
</cp:coreProperties>
</file>