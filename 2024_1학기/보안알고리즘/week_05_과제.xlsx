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8bff837376f036e3/바탕 화면/보안알고리즘/"/>
    </mc:Choice>
  </mc:AlternateContent>
  <xr:revisionPtr revIDLastSave="13" documentId="13_ncr:1_{1C5E9F59-F508-475F-8652-CAB6A8D6E6DE}" xr6:coauthVersionLast="47" xr6:coauthVersionMax="47" xr10:uidLastSave="{73E23E80-BC17-45E1-AF4F-7C9F7D96EB3D}"/>
  <bookViews>
    <workbookView xWindow="0" yWindow="96" windowWidth="12660" windowHeight="12048" xr2:uid="{00000000-000D-0000-FFFF-FFFF00000000}"/>
  </bookViews>
  <sheets>
    <sheet name="종합" sheetId="1" r:id="rId1"/>
    <sheet name="키생성과정(Key Scheduling)" sheetId="2" r:id="rId2"/>
    <sheet name="암호화과정(Ciphering)" sheetId="3" r:id="rId3"/>
    <sheet name="S-box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E17" i="2" s="1"/>
  <c r="M10" i="2" a="1"/>
  <c r="M10" i="2" s="1"/>
  <c r="G42" i="3"/>
  <c r="G41" i="3"/>
  <c r="F42" i="3"/>
  <c r="F41" i="3"/>
  <c r="E42" i="3"/>
  <c r="E41" i="3"/>
  <c r="D42" i="3"/>
  <c r="D41" i="3"/>
  <c r="G28" i="3"/>
  <c r="G27" i="3"/>
  <c r="G26" i="3"/>
  <c r="F28" i="3"/>
  <c r="F27" i="3"/>
  <c r="F26" i="3"/>
  <c r="E27" i="3"/>
  <c r="E28" i="3"/>
  <c r="E26" i="3"/>
  <c r="D28" i="3"/>
  <c r="D27" i="3"/>
  <c r="D26" i="3"/>
  <c r="K37" i="1" l="1"/>
  <c r="D25" i="3"/>
  <c r="K49" i="1"/>
  <c r="N49" i="1"/>
  <c r="M49" i="1"/>
  <c r="L49" i="1"/>
  <c r="N35" i="1"/>
  <c r="M35" i="1"/>
  <c r="L35" i="1"/>
  <c r="K35" i="1"/>
  <c r="L58" i="1" l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K58" i="1"/>
  <c r="Z21" i="1"/>
  <c r="G26" i="1" s="1"/>
  <c r="Y21" i="1"/>
  <c r="G25" i="1" s="1"/>
  <c r="X21" i="1"/>
  <c r="G24" i="1" s="1"/>
  <c r="W21" i="1"/>
  <c r="G23" i="1" s="1"/>
  <c r="V21" i="1"/>
  <c r="F26" i="1" s="1"/>
  <c r="U21" i="1"/>
  <c r="F25" i="1" s="1"/>
  <c r="T21" i="1"/>
  <c r="F24" i="1" s="1"/>
  <c r="S21" i="1"/>
  <c r="F23" i="1" s="1"/>
  <c r="R21" i="1"/>
  <c r="E26" i="1" s="1"/>
  <c r="Q21" i="1"/>
  <c r="E25" i="1" s="1"/>
  <c r="P21" i="1"/>
  <c r="E24" i="1" s="1"/>
  <c r="O21" i="1"/>
  <c r="E23" i="1" s="1"/>
  <c r="N21" i="1"/>
  <c r="D26" i="1" s="1"/>
  <c r="M21" i="1"/>
  <c r="D25" i="1" s="1"/>
  <c r="L21" i="1"/>
  <c r="D24" i="1" s="1"/>
  <c r="K21" i="1"/>
  <c r="D23" i="1" s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K10" i="1"/>
  <c r="D12" i="1" s="1"/>
  <c r="J11" i="2" l="1"/>
  <c r="M11" i="2" s="1" a="1"/>
  <c r="M11" i="2" s="1"/>
  <c r="G12" i="2"/>
  <c r="Y30" i="1" s="1"/>
  <c r="G11" i="2"/>
  <c r="X30" i="1" s="1"/>
  <c r="J10" i="2"/>
  <c r="J12" i="2"/>
  <c r="M12" i="2" s="1" a="1"/>
  <c r="M12" i="2" s="1"/>
  <c r="G13" i="2"/>
  <c r="Z30" i="1" s="1"/>
  <c r="J13" i="2"/>
  <c r="G10" i="2"/>
  <c r="W30" i="1" s="1"/>
  <c r="F13" i="1"/>
  <c r="T59" i="1" s="1"/>
  <c r="F11" i="2"/>
  <c r="T30" i="1" s="1"/>
  <c r="E15" i="1"/>
  <c r="R59" i="1" s="1"/>
  <c r="E13" i="2"/>
  <c r="E14" i="1"/>
  <c r="Q59" i="1" s="1"/>
  <c r="E12" i="2"/>
  <c r="E13" i="1"/>
  <c r="P59" i="1" s="1"/>
  <c r="E11" i="2"/>
  <c r="D15" i="1"/>
  <c r="N59" i="1" s="1"/>
  <c r="D13" i="2"/>
  <c r="D13" i="1"/>
  <c r="L59" i="1" s="1"/>
  <c r="D11" i="2"/>
  <c r="K59" i="1"/>
  <c r="D10" i="2"/>
  <c r="G14" i="1"/>
  <c r="Y59" i="1" s="1"/>
  <c r="G12" i="1"/>
  <c r="W59" i="1" s="1"/>
  <c r="F15" i="1"/>
  <c r="V59" i="1" s="1"/>
  <c r="F13" i="2"/>
  <c r="V30" i="1" s="1"/>
  <c r="F14" i="1"/>
  <c r="U59" i="1" s="1"/>
  <c r="F12" i="2"/>
  <c r="U30" i="1" s="1"/>
  <c r="F12" i="1"/>
  <c r="S59" i="1" s="1"/>
  <c r="F10" i="2"/>
  <c r="S30" i="1" s="1"/>
  <c r="E12" i="1"/>
  <c r="O59" i="1" s="1"/>
  <c r="E10" i="2"/>
  <c r="D14" i="1"/>
  <c r="M59" i="1" s="1"/>
  <c r="D12" i="2"/>
  <c r="G15" i="1"/>
  <c r="Z59" i="1" s="1"/>
  <c r="G13" i="1"/>
  <c r="X59" i="1" s="1"/>
  <c r="M13" i="2" l="1" a="1"/>
  <c r="M13" i="2" s="1"/>
  <c r="N34" i="1" s="1"/>
  <c r="K30" i="1"/>
  <c r="O30" i="1"/>
  <c r="L34" i="1"/>
  <c r="L33" i="1"/>
  <c r="M32" i="1"/>
  <c r="Q30" i="1"/>
  <c r="R30" i="1"/>
  <c r="K34" i="1"/>
  <c r="L32" i="1"/>
  <c r="K33" i="1"/>
  <c r="P30" i="1"/>
  <c r="M34" i="1"/>
  <c r="M33" i="1"/>
  <c r="N32" i="1"/>
  <c r="K36" i="1"/>
  <c r="N36" i="1"/>
  <c r="L36" i="1"/>
  <c r="M36" i="1"/>
  <c r="M30" i="1"/>
  <c r="L30" i="1"/>
  <c r="N30" i="1"/>
  <c r="N33" i="1"/>
  <c r="K32" i="1"/>
  <c r="K41" i="1" l="1"/>
  <c r="D30" i="1" s="1"/>
  <c r="D20" i="2"/>
  <c r="N41" i="1" s="1"/>
  <c r="D33" i="1" s="1"/>
  <c r="D18" i="2"/>
  <c r="L41" i="1" s="1"/>
  <c r="D31" i="1" s="1"/>
  <c r="D19" i="2"/>
  <c r="M41" i="1" s="1"/>
  <c r="D32" i="1" s="1"/>
  <c r="K44" i="1"/>
  <c r="K50" i="1" s="1"/>
  <c r="N37" i="1" l="1"/>
  <c r="N44" i="1"/>
  <c r="N50" i="1" s="1"/>
  <c r="E20" i="2"/>
  <c r="R44" i="1" s="1"/>
  <c r="E19" i="2"/>
  <c r="Q41" i="1" s="1"/>
  <c r="E32" i="1" s="1"/>
  <c r="M37" i="1"/>
  <c r="M44" i="1"/>
  <c r="M50" i="1" s="1"/>
  <c r="L37" i="1"/>
  <c r="L44" i="1"/>
  <c r="L50" i="1" s="1"/>
  <c r="E18" i="2"/>
  <c r="P41" i="1" s="1"/>
  <c r="E31" i="1" s="1"/>
  <c r="F19" i="2"/>
  <c r="U41" i="1" s="1"/>
  <c r="F32" i="1" s="1"/>
  <c r="O41" i="1" l="1"/>
  <c r="E30" i="1" s="1"/>
  <c r="E25" i="3"/>
  <c r="M38" i="1"/>
  <c r="O44" i="1"/>
  <c r="Q44" i="1"/>
  <c r="R41" i="1"/>
  <c r="E33" i="1" s="1"/>
  <c r="N38" i="1"/>
  <c r="F20" i="2"/>
  <c r="U44" i="1"/>
  <c r="P44" i="1"/>
  <c r="L38" i="1"/>
  <c r="F18" i="2"/>
  <c r="T41" i="1" s="1"/>
  <c r="F31" i="1" s="1"/>
  <c r="K38" i="1"/>
  <c r="F17" i="2"/>
  <c r="G19" i="2"/>
  <c r="Y41" i="1" s="1"/>
  <c r="G32" i="1" s="1"/>
  <c r="M39" i="1"/>
  <c r="S41" i="1" l="1"/>
  <c r="F30" i="1" s="1"/>
  <c r="F25" i="3"/>
  <c r="N39" i="1"/>
  <c r="G20" i="2"/>
  <c r="V41" i="1"/>
  <c r="F33" i="1" s="1"/>
  <c r="V44" i="1"/>
  <c r="S44" i="1"/>
  <c r="K39" i="1"/>
  <c r="G17" i="2"/>
  <c r="D26" i="2"/>
  <c r="H26" i="2" s="1" a="1"/>
  <c r="H26" i="2" s="1"/>
  <c r="Y44" i="1"/>
  <c r="M40" i="1"/>
  <c r="M46" i="1" s="1"/>
  <c r="T44" i="1"/>
  <c r="L39" i="1"/>
  <c r="G18" i="2"/>
  <c r="X41" i="1" s="1"/>
  <c r="G31" i="1" s="1"/>
  <c r="W41" i="1" l="1"/>
  <c r="G30" i="1" s="1"/>
  <c r="G25" i="3"/>
  <c r="W44" i="1"/>
  <c r="D28" i="2"/>
  <c r="H28" i="2" s="1" a="1"/>
  <c r="H28" i="2" s="1"/>
  <c r="N48" i="1" s="1"/>
  <c r="K40" i="1"/>
  <c r="K46" i="1" s="1"/>
  <c r="Z41" i="1"/>
  <c r="G33" i="1" s="1"/>
  <c r="N40" i="1"/>
  <c r="N46" i="1" s="1"/>
  <c r="D27" i="2"/>
  <c r="Z44" i="1"/>
  <c r="L48" i="1"/>
  <c r="O26" i="2"/>
  <c r="L51" i="1" s="1"/>
  <c r="N47" i="1"/>
  <c r="D25" i="2"/>
  <c r="H25" i="2" s="1" a="1"/>
  <c r="H25" i="2" s="1"/>
  <c r="X44" i="1"/>
  <c r="L40" i="1"/>
  <c r="L46" i="1" s="1"/>
  <c r="L47" i="1"/>
  <c r="O28" i="2" l="1"/>
  <c r="P28" i="2" s="1"/>
  <c r="H27" i="2" a="1"/>
  <c r="H27" i="2" s="1"/>
  <c r="M47" i="1"/>
  <c r="L55" i="1"/>
  <c r="D45" i="1" s="1"/>
  <c r="K47" i="1"/>
  <c r="P26" i="2"/>
  <c r="P55" i="1" s="1"/>
  <c r="E45" i="1" s="1"/>
  <c r="R55" i="1" l="1"/>
  <c r="E47" i="1" s="1"/>
  <c r="E43" i="3"/>
  <c r="N55" i="1"/>
  <c r="D47" i="1" s="1"/>
  <c r="D43" i="3"/>
  <c r="N51" i="1"/>
  <c r="O27" i="2"/>
  <c r="M48" i="1"/>
  <c r="Q26" i="2"/>
  <c r="T55" i="1" s="1"/>
  <c r="F45" i="1" s="1"/>
  <c r="L52" i="1"/>
  <c r="Q28" i="2"/>
  <c r="N52" i="1"/>
  <c r="K48" i="1"/>
  <c r="O25" i="2"/>
  <c r="K55" i="1" l="1"/>
  <c r="D44" i="1" s="1"/>
  <c r="D40" i="3"/>
  <c r="V55" i="1"/>
  <c r="F47" i="1" s="1"/>
  <c r="F43" i="3"/>
  <c r="M55" i="1"/>
  <c r="D46" i="1" s="1"/>
  <c r="M51" i="1"/>
  <c r="P27" i="2"/>
  <c r="R28" i="2"/>
  <c r="G43" i="3" s="1"/>
  <c r="N53" i="1"/>
  <c r="R26" i="2"/>
  <c r="L53" i="1"/>
  <c r="K51" i="1"/>
  <c r="P25" i="2"/>
  <c r="O55" i="1" l="1"/>
  <c r="E44" i="1" s="1"/>
  <c r="E40" i="3"/>
  <c r="Q55" i="1"/>
  <c r="E46" i="1" s="1"/>
  <c r="M52" i="1"/>
  <c r="Q27" i="2"/>
  <c r="N54" i="1"/>
  <c r="Z55" i="1"/>
  <c r="G47" i="1" s="1"/>
  <c r="L54" i="1"/>
  <c r="X55" i="1"/>
  <c r="G45" i="1" s="1"/>
  <c r="Q25" i="2"/>
  <c r="K52" i="1"/>
  <c r="S55" i="1" l="1"/>
  <c r="F44" i="1" s="1"/>
  <c r="F40" i="3"/>
  <c r="U55" i="1"/>
  <c r="F46" i="1" s="1"/>
  <c r="M53" i="1"/>
  <c r="R27" i="2"/>
  <c r="R25" i="2"/>
  <c r="G40" i="3" s="1"/>
  <c r="K53" i="1"/>
  <c r="M54" i="1" l="1"/>
  <c r="Y55" i="1"/>
  <c r="G46" i="1" s="1"/>
  <c r="K54" i="1"/>
  <c r="W55" i="1"/>
  <c r="G44" i="1" s="1"/>
  <c r="W40" i="3"/>
  <c r="W39" i="3"/>
  <c r="W36" i="3"/>
  <c r="AV33" i="3"/>
  <c r="AV27" i="3"/>
  <c r="AV31" i="3"/>
  <c r="AV32" i="3"/>
  <c r="AK38" i="3"/>
  <c r="AK36" i="3"/>
  <c r="F18" i="3"/>
  <c r="D60" i="1"/>
  <c r="M60" i="1"/>
  <c r="D33" i="3"/>
  <c r="AR25" i="3"/>
  <c r="AR18" i="3"/>
  <c r="G36" i="3"/>
  <c r="G75" i="1"/>
  <c r="Y77" i="1"/>
  <c r="M42" i="3"/>
  <c r="BA32" i="3"/>
  <c r="BA27" i="3"/>
  <c r="BA31" i="3"/>
  <c r="BA33" i="3"/>
  <c r="D36" i="3"/>
  <c r="N73" i="1"/>
  <c r="N69" i="1"/>
  <c r="D68" i="1"/>
  <c r="F73" i="1"/>
  <c r="S77" i="1"/>
  <c r="L40" i="3"/>
  <c r="O74" i="1"/>
  <c r="F67" i="1"/>
  <c r="U69" i="1"/>
  <c r="U73" i="1"/>
  <c r="D35" i="3"/>
  <c r="AR34" i="3"/>
  <c r="AR27" i="3"/>
  <c r="Y68" i="1"/>
  <c r="J41" i="3"/>
  <c r="L77" i="1"/>
  <c r="D74" i="1"/>
  <c r="E75" i="1"/>
  <c r="Q77" i="1"/>
  <c r="K42" i="3"/>
  <c r="F20" i="3"/>
  <c r="D75" i="1"/>
  <c r="M77" i="1"/>
  <c r="J42" i="3"/>
  <c r="AW52" i="3"/>
  <c r="AW51" i="3"/>
  <c r="AW45" i="3"/>
  <c r="F33" i="3"/>
  <c r="AG50" i="3"/>
  <c r="AG45" i="3"/>
  <c r="E58" i="1"/>
  <c r="O60" i="1"/>
  <c r="AM42" i="3"/>
  <c r="AM36" i="3"/>
  <c r="AM41" i="3"/>
  <c r="AM43" i="3"/>
  <c r="D61" i="1"/>
  <c r="N60" i="1"/>
  <c r="G33" i="3"/>
  <c r="E59" i="1"/>
  <c r="P60" i="1"/>
  <c r="AU38" i="3"/>
  <c r="AU36" i="3"/>
  <c r="L68" i="1"/>
  <c r="M66" i="1"/>
  <c r="U76" i="1"/>
  <c r="Z76" i="1"/>
  <c r="AA27" i="3"/>
  <c r="AA29" i="3"/>
  <c r="AA30" i="3"/>
  <c r="BF24" i="3"/>
  <c r="BF18" i="3"/>
  <c r="BE49" i="3"/>
  <c r="BE45" i="3"/>
  <c r="E21" i="3"/>
  <c r="AO47" i="3"/>
  <c r="BG25" i="3"/>
  <c r="BG18" i="3"/>
  <c r="F36" i="3"/>
  <c r="BD48" i="3"/>
  <c r="BG53" i="3"/>
  <c r="S36" i="3"/>
  <c r="M43" i="3"/>
  <c r="Z77" i="1"/>
  <c r="G76" i="1"/>
  <c r="AG24" i="3"/>
  <c r="AG18" i="3"/>
  <c r="V66" i="1"/>
  <c r="AQ32" i="3"/>
  <c r="AQ27" i="3"/>
  <c r="AQ31" i="3"/>
  <c r="AQ33" i="3"/>
  <c r="AV50" i="3"/>
  <c r="AV45" i="3"/>
  <c r="S74" i="1"/>
  <c r="AH42" i="3"/>
  <c r="AH36" i="3"/>
  <c r="AH41" i="3"/>
  <c r="AH43" i="3"/>
  <c r="O73" i="1"/>
  <c r="O69" i="1"/>
  <c r="E65" i="1"/>
  <c r="V22" i="3"/>
  <c r="V18" i="3"/>
  <c r="V21" i="3"/>
  <c r="V23" i="3"/>
  <c r="Z73" i="1"/>
  <c r="Z69" i="1"/>
  <c r="G68" i="1"/>
  <c r="M68" i="1"/>
  <c r="J13" i="3"/>
  <c r="J11" i="3"/>
  <c r="J12" i="3"/>
  <c r="J10" i="3"/>
  <c r="E35" i="3"/>
  <c r="F58" i="1"/>
  <c r="S60" i="1"/>
  <c r="G66" i="1"/>
  <c r="X69" i="1"/>
  <c r="X73" i="1"/>
  <c r="X43" i="3"/>
  <c r="X36" i="3"/>
  <c r="X41" i="3"/>
  <c r="X42" i="3"/>
  <c r="G35" i="3"/>
  <c r="E61" i="1"/>
  <c r="R60" i="1"/>
  <c r="BG43" i="3"/>
  <c r="BG36" i="3"/>
  <c r="BG41" i="3"/>
  <c r="BG42" i="3"/>
  <c r="AC25" i="3"/>
  <c r="AC18" i="3"/>
  <c r="AL24" i="3"/>
  <c r="AL18" i="3"/>
  <c r="K68" i="1"/>
  <c r="AZ49" i="3"/>
  <c r="AZ45" i="3"/>
  <c r="D20" i="3"/>
  <c r="K65" i="1"/>
  <c r="Q73" i="1"/>
  <c r="Q69" i="1"/>
  <c r="E67" i="1"/>
  <c r="AZ23" i="3"/>
  <c r="AZ18" i="3"/>
  <c r="AZ21" i="3"/>
  <c r="AZ22" i="3"/>
  <c r="U74" i="1"/>
  <c r="AQ40" i="3"/>
  <c r="AQ39" i="3"/>
  <c r="AQ36" i="3"/>
  <c r="E60" i="1"/>
  <c r="Q60" i="1"/>
  <c r="AF27" i="3"/>
  <c r="AF29" i="3"/>
  <c r="AF30" i="3"/>
  <c r="T66" i="1"/>
  <c r="F59" i="1"/>
  <c r="T60" i="1"/>
  <c r="P66" i="1"/>
  <c r="Z65" i="1"/>
  <c r="T65" i="1"/>
  <c r="T74" i="1"/>
  <c r="D59" i="1"/>
  <c r="L60" i="1"/>
  <c r="BB34" i="3"/>
  <c r="BB27" i="3"/>
  <c r="P74" i="1"/>
  <c r="F35" i="3"/>
  <c r="X52" i="3"/>
  <c r="X51" i="3"/>
  <c r="X45" i="3"/>
  <c r="Z66" i="1"/>
  <c r="BD45" i="3"/>
  <c r="BD46" i="3"/>
  <c r="BD47" i="3"/>
  <c r="AB24" i="3"/>
  <c r="AB18" i="3"/>
  <c r="BA50" i="3"/>
  <c r="BA45" i="3"/>
  <c r="AA38" i="3"/>
  <c r="AA36" i="3"/>
  <c r="T76" i="1"/>
  <c r="F19" i="3"/>
  <c r="G59" i="1"/>
  <c r="X60" i="1"/>
  <c r="Z74" i="1"/>
  <c r="T68" i="1"/>
  <c r="AB40" i="3"/>
  <c r="AB39" i="3"/>
  <c r="AB36" i="3"/>
  <c r="AO36" i="3"/>
  <c r="AO37" i="3"/>
  <c r="AQ44" i="3"/>
  <c r="P35" i="3"/>
  <c r="M76" i="1"/>
  <c r="F76" i="1"/>
  <c r="V77" i="1"/>
  <c r="L43" i="3"/>
  <c r="AR52" i="3"/>
  <c r="AR51" i="3"/>
  <c r="AR45" i="3"/>
  <c r="K74" i="1"/>
  <c r="Z47" i="3"/>
  <c r="AT36" i="3"/>
  <c r="AT37" i="3"/>
  <c r="AV44" i="3"/>
  <c r="Q35" i="3"/>
  <c r="Q76" i="1"/>
  <c r="G67" i="1"/>
  <c r="Y69" i="1"/>
  <c r="Y73" i="1"/>
  <c r="AU49" i="3"/>
  <c r="AU45" i="3"/>
  <c r="AB32" i="3"/>
  <c r="AB27" i="3"/>
  <c r="AB31" i="3"/>
  <c r="AB33" i="3"/>
  <c r="BF36" i="3"/>
  <c r="BF39" i="3"/>
  <c r="BF40" i="3"/>
  <c r="AA49" i="3"/>
  <c r="AA45" i="3"/>
  <c r="P67" i="1"/>
  <c r="AW25" i="3"/>
  <c r="AW18" i="3"/>
  <c r="R75" i="1"/>
  <c r="N74" i="1"/>
  <c r="M65" i="1"/>
  <c r="AW43" i="3"/>
  <c r="AW36" i="3"/>
  <c r="AW41" i="3"/>
  <c r="AW42" i="3"/>
  <c r="F68" i="1"/>
  <c r="V69" i="1"/>
  <c r="V73" i="1"/>
  <c r="BE23" i="3"/>
  <c r="BE18" i="3"/>
  <c r="BE21" i="3"/>
  <c r="BE22" i="3"/>
  <c r="W50" i="3"/>
  <c r="W45" i="3"/>
  <c r="U67" i="1"/>
  <c r="J28" i="3"/>
  <c r="D36" i="3" a="1"/>
  <c r="K36" i="3"/>
  <c r="AW27" i="3"/>
  <c r="AW34" i="3"/>
  <c r="G73" i="1"/>
  <c r="W77" i="1"/>
  <c r="M40" i="3"/>
  <c r="AP38" i="3"/>
  <c r="AP36" i="3"/>
  <c r="N76" i="1"/>
  <c r="M74" i="1"/>
  <c r="BF32" i="3"/>
  <c r="BF27" i="3"/>
  <c r="BF31" i="3"/>
  <c r="BF33" i="3"/>
  <c r="F60" i="1"/>
  <c r="U60" i="1"/>
  <c r="X68" i="1"/>
  <c r="O67" i="1"/>
  <c r="BG45" i="3"/>
  <c r="BG51" i="3"/>
  <c r="BG52" i="3"/>
  <c r="N75" i="1"/>
  <c r="AR42" i="3"/>
  <c r="M28" i="3"/>
  <c r="G36" i="3" a="1"/>
  <c r="J36" i="3"/>
  <c r="AR36" i="3"/>
  <c r="AR41" i="3"/>
  <c r="AR43" i="3"/>
  <c r="AM45" i="3"/>
  <c r="AM51" i="3"/>
  <c r="AM52" i="3"/>
  <c r="AY48" i="3"/>
  <c r="BB53" i="3"/>
  <c r="R36" i="3"/>
  <c r="V76" i="1"/>
  <c r="L13" i="3"/>
  <c r="L11" i="3"/>
  <c r="L12" i="3"/>
  <c r="L10" i="3"/>
  <c r="S66" i="1"/>
  <c r="AE47" i="3"/>
  <c r="O68" i="1"/>
  <c r="AK27" i="3"/>
  <c r="AK29" i="3"/>
  <c r="AK30" i="3"/>
  <c r="E36" i="3"/>
  <c r="AH34" i="3"/>
  <c r="AH27" i="3"/>
  <c r="G34" i="3"/>
  <c r="AG33" i="3"/>
  <c r="AG27" i="3"/>
  <c r="AG31" i="3"/>
  <c r="AG32" i="3"/>
  <c r="W32" i="3"/>
  <c r="W27" i="3"/>
  <c r="W31" i="3"/>
  <c r="W33" i="3"/>
  <c r="BB52" i="3"/>
  <c r="BB51" i="3"/>
  <c r="BB45" i="3"/>
  <c r="AC34" i="3"/>
  <c r="AC27" i="3"/>
  <c r="M67" i="1"/>
  <c r="D19" i="3"/>
  <c r="G20" i="3"/>
  <c r="O66" i="1"/>
  <c r="F21" i="3"/>
  <c r="E20" i="3"/>
  <c r="D18" i="3"/>
  <c r="P68" i="1"/>
  <c r="E19" i="3"/>
  <c r="W65" i="1"/>
  <c r="S68" i="1"/>
  <c r="V27" i="3"/>
  <c r="V29" i="3"/>
  <c r="V30" i="3"/>
  <c r="P76" i="1"/>
  <c r="J20" i="3"/>
  <c r="W18" i="3"/>
  <c r="W24" i="3"/>
  <c r="BD18" i="3"/>
  <c r="BD19" i="3"/>
  <c r="BD20" i="3"/>
  <c r="BD26" i="3"/>
  <c r="S33" i="3"/>
  <c r="W76" i="1"/>
  <c r="AC45" i="3"/>
  <c r="AC51" i="3"/>
  <c r="AC52" i="3"/>
  <c r="AO45" i="3"/>
  <c r="AO46" i="3"/>
  <c r="AO48" i="3"/>
  <c r="AR53" i="3"/>
  <c r="P36" i="3"/>
  <c r="J43" i="3"/>
  <c r="N77" i="1"/>
  <c r="D76" i="1"/>
  <c r="AT47" i="3"/>
  <c r="E34" i="3"/>
  <c r="R67" i="1"/>
  <c r="AF23" i="3"/>
  <c r="AF18" i="3"/>
  <c r="AF21" i="3"/>
  <c r="AF22" i="3"/>
  <c r="W60" i="1"/>
  <c r="G58" i="1"/>
  <c r="T67" i="1"/>
  <c r="V75" i="1"/>
  <c r="U68" i="1"/>
  <c r="Z75" i="1"/>
  <c r="U48" i="3"/>
  <c r="X53" i="3"/>
  <c r="P21" i="3"/>
  <c r="N68" i="1"/>
  <c r="BE30" i="3"/>
  <c r="BE29" i="3"/>
  <c r="BE27" i="3"/>
  <c r="F75" i="1"/>
  <c r="AY36" i="3"/>
  <c r="AY37" i="3"/>
  <c r="BA44" i="3"/>
  <c r="R35" i="3"/>
  <c r="L42" i="3"/>
  <c r="U77" i="1"/>
  <c r="M36" i="3"/>
  <c r="BG27" i="3"/>
  <c r="BG34" i="3"/>
  <c r="L74" i="1"/>
  <c r="AY45" i="3"/>
  <c r="AY46" i="3"/>
  <c r="AY47" i="3"/>
  <c r="AB50" i="3"/>
  <c r="AB45" i="3"/>
  <c r="N66" i="1"/>
  <c r="R74" i="1"/>
  <c r="F34" i="3"/>
  <c r="G21" i="3"/>
  <c r="AH45" i="3"/>
  <c r="AH51" i="3"/>
  <c r="AH52" i="3"/>
  <c r="Q74" i="1"/>
  <c r="AF45" i="3"/>
  <c r="AF49" i="3"/>
  <c r="AT27" i="3"/>
  <c r="AT28" i="3"/>
  <c r="AU35" i="3"/>
  <c r="Q34" i="3"/>
  <c r="K41" i="3"/>
  <c r="P77" i="1"/>
  <c r="E74" i="1"/>
  <c r="L19" i="3"/>
  <c r="AF36" i="3"/>
  <c r="AF38" i="3"/>
  <c r="M73" i="1"/>
  <c r="M69" i="1"/>
  <c r="D67" i="1"/>
  <c r="AK49" i="3"/>
  <c r="AK45" i="3"/>
  <c r="BB18" i="3"/>
  <c r="BB25" i="3"/>
  <c r="AO27" i="3"/>
  <c r="AO28" i="3"/>
  <c r="AP35" i="3"/>
  <c r="P34" i="3"/>
  <c r="L76" i="1"/>
  <c r="G60" i="1"/>
  <c r="Y60" i="1"/>
  <c r="AP30" i="3"/>
  <c r="AP29" i="3"/>
  <c r="AP27" i="3"/>
  <c r="K40" i="3"/>
  <c r="O77" i="1"/>
  <c r="E73" i="1"/>
  <c r="N65" i="1"/>
  <c r="D21" i="3"/>
  <c r="V49" i="3"/>
  <c r="V45" i="3"/>
  <c r="K60" i="1"/>
  <c r="D58" i="1"/>
  <c r="E68" i="1"/>
  <c r="R69" i="1"/>
  <c r="R73" i="1"/>
  <c r="L28" i="3"/>
  <c r="F36" i="3" a="1"/>
  <c r="V74" i="1"/>
  <c r="W67" i="1"/>
  <c r="K73" i="1"/>
  <c r="K69" i="1"/>
  <c r="D65" i="1"/>
  <c r="S75" i="1"/>
  <c r="AJ47" i="3"/>
  <c r="Q66" i="1"/>
  <c r="AT18" i="3"/>
  <c r="AT19" i="3"/>
  <c r="AT20" i="3"/>
  <c r="AT26" i="3"/>
  <c r="Q33" i="3"/>
  <c r="O76" i="1"/>
  <c r="Q65" i="1"/>
  <c r="AC43" i="3"/>
  <c r="P13" i="3"/>
  <c r="D21" i="3" a="1"/>
  <c r="K21" i="3"/>
  <c r="AC36" i="3"/>
  <c r="AC41" i="3"/>
  <c r="AC42" i="3"/>
  <c r="G18" i="3"/>
  <c r="AH25" i="3"/>
  <c r="AH18" i="3"/>
  <c r="K10" i="3"/>
  <c r="K11" i="3"/>
  <c r="K12" i="3"/>
  <c r="K13" i="3"/>
  <c r="L67" i="1"/>
  <c r="X25" i="3"/>
  <c r="X18" i="3"/>
  <c r="N67" i="1"/>
  <c r="AU27" i="3"/>
  <c r="AU29" i="3"/>
  <c r="AU30" i="3"/>
  <c r="G19" i="3"/>
  <c r="X65" i="1"/>
  <c r="AL40" i="3"/>
  <c r="AL39" i="3"/>
  <c r="AL36" i="3"/>
  <c r="E19" i="3" a="1"/>
  <c r="J19" i="3"/>
  <c r="V36" i="3"/>
  <c r="V38" i="3"/>
  <c r="AV24" i="3"/>
  <c r="AV18" i="3"/>
  <c r="AZ27" i="3"/>
  <c r="AZ29" i="3"/>
  <c r="AZ30" i="3"/>
  <c r="D73" i="1"/>
  <c r="K77" i="1"/>
  <c r="J40" i="3"/>
  <c r="V65" i="1"/>
  <c r="E76" i="1"/>
  <c r="R77" i="1"/>
  <c r="K43" i="3"/>
  <c r="AL50" i="3"/>
  <c r="AL45" i="3"/>
  <c r="D34" i="3"/>
  <c r="AQ50" i="3"/>
  <c r="AQ45" i="3"/>
  <c r="G21" i="3" a="1"/>
  <c r="J21" i="3"/>
  <c r="X27" i="3"/>
  <c r="X34" i="3"/>
  <c r="AK22" i="3"/>
  <c r="AK18" i="3"/>
  <c r="AK21" i="3"/>
  <c r="AK23" i="3"/>
  <c r="G74" i="1"/>
  <c r="X77" i="1"/>
  <c r="M41" i="3"/>
  <c r="BE38" i="3"/>
  <c r="BE36" i="3"/>
  <c r="T75" i="1"/>
  <c r="BA24" i="3"/>
  <c r="BA18" i="3"/>
  <c r="V60" i="1"/>
  <c r="F61" i="1"/>
  <c r="R68" i="1"/>
  <c r="AM34" i="3"/>
  <c r="AM27" i="3"/>
  <c r="L21" i="3"/>
  <c r="V67" i="1"/>
  <c r="G11" i="3"/>
  <c r="S11" i="3"/>
  <c r="G19" i="3" a="1"/>
  <c r="X66" i="1"/>
  <c r="U75" i="1"/>
  <c r="G13" i="3"/>
  <c r="S13" i="3"/>
  <c r="Z60" i="1"/>
  <c r="G61" i="1"/>
  <c r="AL33" i="3"/>
  <c r="AL27" i="3"/>
  <c r="AL31" i="3"/>
  <c r="AL32" i="3"/>
  <c r="O65" i="1"/>
  <c r="F20" i="3" a="1"/>
  <c r="U66" i="1"/>
  <c r="AV40" i="3"/>
  <c r="AV39" i="3"/>
  <c r="AV36" i="3"/>
  <c r="AP49" i="3"/>
  <c r="AP45" i="3"/>
  <c r="L73" i="1"/>
  <c r="L69" i="1"/>
  <c r="D66" i="1"/>
  <c r="Y75" i="1"/>
  <c r="AQ24" i="3"/>
  <c r="AQ18" i="3"/>
  <c r="E12" i="3"/>
  <c r="Q12" i="3"/>
  <c r="E20" i="3" a="1"/>
  <c r="M20" i="3"/>
  <c r="Y67" i="1"/>
  <c r="BA40" i="3"/>
  <c r="U36" i="3"/>
  <c r="U37" i="3"/>
  <c r="W44" i="3"/>
  <c r="P20" i="3"/>
  <c r="J27" i="3"/>
  <c r="D35" i="3" a="1"/>
  <c r="L35" i="3"/>
  <c r="BA36" i="3"/>
  <c r="BA39" i="3"/>
  <c r="E18" i="3"/>
  <c r="L34" i="3"/>
  <c r="AZ36" i="3"/>
  <c r="AZ38" i="3"/>
  <c r="E33" i="3"/>
  <c r="AO18" i="3"/>
  <c r="AO19" i="3"/>
  <c r="AO20" i="3"/>
  <c r="AO26" i="3"/>
  <c r="P33" i="3"/>
  <c r="K76" i="1"/>
  <c r="W75" i="1"/>
  <c r="F65" i="1"/>
  <c r="S69" i="1"/>
  <c r="S73" i="1"/>
  <c r="AT45" i="3"/>
  <c r="AT46" i="3"/>
  <c r="AT48" i="3"/>
  <c r="AW53" i="3"/>
  <c r="Q36" i="3"/>
  <c r="R76" i="1"/>
  <c r="AE45" i="3"/>
  <c r="AE46" i="3"/>
  <c r="AE48" i="3"/>
  <c r="AH53" i="3"/>
  <c r="R21" i="3"/>
  <c r="V68" i="1"/>
  <c r="K67" i="1"/>
  <c r="M13" i="3"/>
  <c r="M11" i="3"/>
  <c r="M12" i="3"/>
  <c r="M10" i="3"/>
  <c r="U45" i="3"/>
  <c r="U46" i="3"/>
  <c r="U47" i="3"/>
  <c r="W74" i="1"/>
  <c r="Y74" i="1"/>
  <c r="AM25" i="3"/>
  <c r="AM18" i="3"/>
  <c r="W66" i="1"/>
  <c r="S67" i="1"/>
  <c r="K66" i="1"/>
  <c r="U18" i="3"/>
  <c r="U19" i="3"/>
  <c r="U20" i="3"/>
  <c r="U26" i="3"/>
  <c r="P18" i="3"/>
  <c r="J25" i="3"/>
  <c r="D33" i="3" a="1"/>
  <c r="J33" i="3"/>
  <c r="K75" i="1"/>
  <c r="R65" i="1"/>
  <c r="Y66" i="1"/>
  <c r="AU22" i="3"/>
  <c r="AU18" i="3"/>
  <c r="AU21" i="3"/>
  <c r="AU23" i="3"/>
  <c r="W68" i="1"/>
  <c r="AP23" i="3"/>
  <c r="AP18" i="3"/>
  <c r="AP21" i="3"/>
  <c r="AP22" i="3"/>
  <c r="AJ36" i="3"/>
  <c r="AJ37" i="3"/>
  <c r="AL44" i="3"/>
  <c r="S20" i="3"/>
  <c r="M27" i="3"/>
  <c r="G35" i="3" a="1"/>
  <c r="K35" i="3"/>
  <c r="Q75" i="1"/>
  <c r="P10" i="3"/>
  <c r="D18" i="3" a="1"/>
  <c r="J18" i="3"/>
  <c r="U27" i="3"/>
  <c r="U28" i="3"/>
  <c r="V35" i="3"/>
  <c r="P19" i="3"/>
  <c r="J26" i="3"/>
  <c r="D34" i="3" a="1"/>
  <c r="M34" i="3"/>
  <c r="X75" i="1"/>
  <c r="F13" i="3"/>
  <c r="R13" i="3"/>
  <c r="F21" i="3" a="1"/>
  <c r="M21" i="3"/>
  <c r="Z67" i="1"/>
  <c r="D13" i="3"/>
  <c r="E13" i="3"/>
  <c r="Q13" i="3"/>
  <c r="E21" i="3" a="1"/>
  <c r="R66" i="1"/>
  <c r="S65" i="1"/>
  <c r="AY18" i="3"/>
  <c r="AY19" i="3"/>
  <c r="AY20" i="3"/>
  <c r="AY26" i="3"/>
  <c r="R33" i="3"/>
  <c r="S76" i="1"/>
  <c r="E11" i="3"/>
  <c r="Q11" i="3"/>
  <c r="P65" i="1"/>
  <c r="F12" i="3"/>
  <c r="R12" i="3"/>
  <c r="U65" i="1"/>
  <c r="Q68" i="1"/>
  <c r="AJ45" i="3"/>
  <c r="AJ46" i="3"/>
  <c r="AJ48" i="3"/>
  <c r="AM53" i="3"/>
  <c r="S21" i="3"/>
  <c r="Z68" i="1"/>
  <c r="E34" i="3" a="1"/>
  <c r="J34" i="3"/>
  <c r="L75" i="1"/>
  <c r="AE36" i="3"/>
  <c r="AE37" i="3"/>
  <c r="AG44" i="3"/>
  <c r="R20" i="3"/>
  <c r="L27" i="3"/>
  <c r="F35" i="3" a="1"/>
  <c r="J35" i="3"/>
  <c r="M75" i="1"/>
  <c r="L66" i="1"/>
  <c r="Y65" i="1"/>
  <c r="F66" i="1"/>
  <c r="T69" i="1"/>
  <c r="T73" i="1"/>
  <c r="BD36" i="3"/>
  <c r="BD37" i="3"/>
  <c r="BF44" i="3"/>
  <c r="S35" i="3"/>
  <c r="Y76" i="1"/>
  <c r="P73" i="1"/>
  <c r="Z27" i="3"/>
  <c r="Z28" i="3"/>
  <c r="AA35" i="3"/>
  <c r="Q19" i="3"/>
  <c r="K26" i="3"/>
  <c r="P69" i="1"/>
  <c r="E66" i="1"/>
  <c r="AE18" i="3"/>
  <c r="AE19" i="3"/>
  <c r="AE20" i="3"/>
  <c r="AE26" i="3"/>
  <c r="R18" i="3"/>
  <c r="L25" i="3"/>
  <c r="F33" i="3" a="1"/>
  <c r="L33" i="3"/>
  <c r="AY27" i="3"/>
  <c r="AY28" i="3"/>
  <c r="AZ35" i="3"/>
  <c r="R34" i="3"/>
  <c r="L41" i="3"/>
  <c r="T77" i="1"/>
  <c r="F74" i="1"/>
  <c r="G12" i="3"/>
  <c r="S12" i="3"/>
  <c r="G20" i="3" a="1"/>
  <c r="K20" i="3"/>
  <c r="Q67" i="1"/>
  <c r="Z36" i="3"/>
  <c r="Z37" i="3"/>
  <c r="AB44" i="3"/>
  <c r="Q20" i="3"/>
  <c r="K27" i="3"/>
  <c r="E35" i="3" a="1"/>
  <c r="M35" i="3"/>
  <c r="BF45" i="3"/>
  <c r="BF50" i="3"/>
  <c r="L65" i="1"/>
  <c r="P11" i="3"/>
  <c r="D19" i="3" a="1"/>
  <c r="M19" i="3"/>
  <c r="X67" i="1"/>
  <c r="Z18" i="3"/>
  <c r="Z19" i="3"/>
  <c r="Z20" i="3"/>
  <c r="Z26" i="3"/>
  <c r="Q18" i="3"/>
  <c r="K25" i="3"/>
  <c r="E33" i="3" a="1"/>
  <c r="K33" i="3"/>
  <c r="O75" i="1"/>
  <c r="G33" i="3" a="1"/>
  <c r="M33" i="3"/>
  <c r="BD27" i="3"/>
  <c r="BD28" i="3"/>
  <c r="BE35" i="3"/>
  <c r="S34" i="3"/>
  <c r="X76" i="1"/>
  <c r="W73" i="1"/>
  <c r="AJ18" i="3"/>
  <c r="AJ19" i="3"/>
  <c r="AJ20" i="3"/>
  <c r="AJ26" i="3"/>
  <c r="S18" i="3"/>
  <c r="M25" i="3"/>
  <c r="W69" i="1"/>
  <c r="G65" i="1"/>
  <c r="D12" i="3"/>
  <c r="P12" i="3"/>
  <c r="D20" i="3" a="1"/>
  <c r="L20" i="3"/>
  <c r="AG36" i="3"/>
  <c r="AG39" i="3"/>
  <c r="AG40" i="3"/>
  <c r="AA23" i="3"/>
  <c r="D11" i="3"/>
  <c r="F11" i="3"/>
  <c r="R11" i="3"/>
  <c r="F19" i="3" a="1"/>
  <c r="K19" i="3"/>
  <c r="AA18" i="3"/>
  <c r="AA21" i="3"/>
  <c r="AA22" i="3"/>
  <c r="G10" i="3"/>
  <c r="S10" i="3"/>
  <c r="G18" i="3" a="1"/>
  <c r="M18" i="3"/>
  <c r="AJ27" i="3"/>
  <c r="AJ28" i="3"/>
  <c r="AK35" i="3"/>
  <c r="S19" i="3"/>
  <c r="M26" i="3"/>
  <c r="G34" i="3" a="1"/>
  <c r="X74" i="1"/>
  <c r="BB42" i="3"/>
  <c r="E10" i="3"/>
  <c r="Q10" i="3"/>
  <c r="E18" i="3" a="1"/>
  <c r="K18" i="3"/>
  <c r="Z45" i="3"/>
  <c r="Z46" i="3"/>
  <c r="Z48" i="3"/>
  <c r="AC53" i="3"/>
  <c r="Q21" i="3"/>
  <c r="K28" i="3"/>
  <c r="E36" i="3" a="1"/>
  <c r="L36" i="3"/>
  <c r="BB36" i="3"/>
  <c r="BB41" i="3"/>
  <c r="BB43" i="3"/>
  <c r="D10" i="3"/>
  <c r="F10" i="3"/>
  <c r="R10" i="3"/>
  <c r="F18" i="3" a="1"/>
  <c r="L18" i="3"/>
  <c r="AE27" i="3"/>
  <c r="AE28" i="3"/>
  <c r="AF35" i="3"/>
  <c r="R19" i="3"/>
  <c r="L26" i="3"/>
  <c r="F34" i="3" a="1"/>
  <c r="K34" i="3"/>
  <c r="P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<sst xmlns="http://schemas.openxmlformats.org/spreadsheetml/2006/main" count="436" uniqueCount="354">
  <si>
    <t>Q2. AES 암호화 과정을 아래의 평문과 암호를 이용하여 수행하시오.</t>
    <phoneticPr fontId="1" type="noConversion"/>
  </si>
  <si>
    <t xml:space="preserve">모든 과정을 나타내는 것이 아닌 중간과정인 1, 2라운드의 보조키 생성, 암호문 생성한 결과를 표에 채우세요. </t>
    <phoneticPr fontId="1" type="noConversion"/>
  </si>
  <si>
    <t xml:space="preserve">중간 연산은 엑셀의 다른 시트에 자세히 표시하고 주석을 달아주세요. </t>
    <phoneticPr fontId="1" type="noConversion"/>
  </si>
  <si>
    <t>AES 암호 알고리즘은 유한체 8비트의 값으로 데이터가 구성되며, 키의 값은 경우에 따라 128, 196, 256비트로 구성됨</t>
    <phoneticPr fontId="1" type="noConversion"/>
  </si>
  <si>
    <t>Key</t>
    <phoneticPr fontId="1" type="noConversion"/>
  </si>
  <si>
    <t>3243f6a8885a308d313198a2e0370734</t>
    <phoneticPr fontId="1" type="noConversion"/>
  </si>
  <si>
    <t>State</t>
    <phoneticPr fontId="1" type="noConversion"/>
  </si>
  <si>
    <t>바이트 단위 인덱스</t>
    <phoneticPr fontId="1" type="noConversion"/>
  </si>
  <si>
    <t>현재는 128비트(16바이트)의 키를 기준으로 풀이함</t>
    <phoneticPr fontId="1" type="noConversion"/>
  </si>
  <si>
    <t>위치에 해당하는 값(HEX)</t>
    <phoneticPr fontId="1" type="noConversion"/>
  </si>
  <si>
    <t>AES 암호 알고리즘은 유한체 8비트의 값으로 데이터가 구성되며, 평문은 키크기와 상관없이 128비트(16바이트)로 구성됨</t>
    <phoneticPr fontId="1" type="noConversion"/>
  </si>
  <si>
    <t>08</t>
    <phoneticPr fontId="1" type="noConversion"/>
  </si>
  <si>
    <t>02</t>
    <phoneticPr fontId="1" type="noConversion"/>
  </si>
  <si>
    <t>1-1) AES의 키</t>
    <phoneticPr fontId="1" type="noConversion"/>
  </si>
  <si>
    <t>1-2) AES의 평문</t>
    <phoneticPr fontId="1" type="noConversion"/>
  </si>
  <si>
    <t>3-1) 1라운드 AES 계산 입력</t>
    <phoneticPr fontId="1" type="noConversion"/>
  </si>
  <si>
    <t>3-2) 1라운드 AES 계산 결과 (=2라운드 AES 계산 입력)</t>
    <phoneticPr fontId="1" type="noConversion"/>
  </si>
  <si>
    <t>3-3) 2라운드 AES 계산 결과 (=3라운드 AES 계산 입력)</t>
    <phoneticPr fontId="1" type="noConversion"/>
  </si>
  <si>
    <t>평문</t>
    <phoneticPr fontId="1" type="noConversion"/>
  </si>
  <si>
    <t>암호문</t>
    <phoneticPr fontId="1" type="noConversion"/>
  </si>
  <si>
    <t>라운드 입력</t>
    <phoneticPr fontId="1" type="noConversion"/>
  </si>
  <si>
    <t>After SubBytes</t>
    <phoneticPr fontId="1" type="noConversion"/>
  </si>
  <si>
    <t>After AddRoundKey</t>
    <phoneticPr fontId="1" type="noConversion"/>
  </si>
  <si>
    <t>After ShiftRows</t>
    <phoneticPr fontId="1" type="noConversion"/>
  </si>
  <si>
    <t>After MixColumns</t>
    <phoneticPr fontId="1" type="noConversion"/>
  </si>
  <si>
    <t>라운드 입력(Key)</t>
    <phoneticPr fontId="1" type="noConversion"/>
  </si>
  <si>
    <t>1열 연산(Wi = SubBytes(RotWord(Wi-1))^Rcon^Wi-4)</t>
    <phoneticPr fontId="1" type="noConversion"/>
  </si>
  <si>
    <t>2열 연산(Wi = Wi-1^Wi-4)</t>
    <phoneticPr fontId="1" type="noConversion"/>
  </si>
  <si>
    <t>3열 연산(Wi = Wi-1^Wi-4)</t>
    <phoneticPr fontId="1" type="noConversion"/>
  </si>
  <si>
    <t>4열 연산(Wi = Wi-1^Wi-4)</t>
    <phoneticPr fontId="1" type="noConversion"/>
  </si>
  <si>
    <t>Wi-1</t>
    <phoneticPr fontId="1" type="noConversion"/>
  </si>
  <si>
    <t>RotWord(Wi-1)</t>
    <phoneticPr fontId="1" type="noConversion"/>
  </si>
  <si>
    <t>SubBytes(RotWord(Wi-1)</t>
    <phoneticPr fontId="1" type="noConversion"/>
  </si>
  <si>
    <t>라운드 Rcon</t>
    <phoneticPr fontId="1" type="noConversion"/>
  </si>
  <si>
    <t>Wi-4</t>
    <phoneticPr fontId="1" type="noConversion"/>
  </si>
  <si>
    <t>1연 연산(Wi)</t>
    <phoneticPr fontId="1" type="noConversion"/>
  </si>
  <si>
    <t>2-1) 1라운드 암호키</t>
    <phoneticPr fontId="1" type="noConversion"/>
  </si>
  <si>
    <t>2-2) 2라운드 암호키</t>
    <phoneticPr fontId="1" type="noConversion"/>
  </si>
  <si>
    <t>*3 AES 암호화의 S-box table</t>
    <phoneticPr fontId="1" type="noConversion"/>
  </si>
  <si>
    <t>*1 AES 키 생성 과정</t>
    <phoneticPr fontId="1" type="noConversion"/>
  </si>
  <si>
    <t>*2 AES 암호화 과정</t>
    <phoneticPr fontId="1" type="noConversion"/>
  </si>
  <si>
    <t>A</t>
  </si>
  <si>
    <t>B</t>
  </si>
  <si>
    <t>C</t>
  </si>
  <si>
    <t>D</t>
  </si>
  <si>
    <t>E</t>
  </si>
  <si>
    <t>F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</si>
  <si>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</si>
  <si>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</si>
  <si>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</si>
  <si>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</si>
  <si>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</si>
  <si>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</si>
  <si>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y</t>
    <phoneticPr fontId="1" type="noConversion"/>
  </si>
  <si>
    <t>x</t>
    <phoneticPr fontId="1" type="noConversion"/>
  </si>
  <si>
    <t>7c</t>
  </si>
  <si>
    <t>7b</t>
  </si>
  <si>
    <t>f2</t>
  </si>
  <si>
    <t>6b</t>
  </si>
  <si>
    <t>6f</t>
  </si>
  <si>
    <t>c5</t>
  </si>
  <si>
    <t>2b</t>
  </si>
  <si>
    <t>fe</t>
  </si>
  <si>
    <t>d7</t>
  </si>
  <si>
    <t>ab</t>
  </si>
  <si>
    <t>ca</t>
  </si>
  <si>
    <t>c9</t>
  </si>
  <si>
    <t>7d</t>
  </si>
  <si>
    <t>fa</t>
  </si>
  <si>
    <t>f0</t>
  </si>
  <si>
    <t>ad</t>
  </si>
  <si>
    <t>d4</t>
  </si>
  <si>
    <t>a2</t>
  </si>
  <si>
    <t>af</t>
  </si>
  <si>
    <t>9c</t>
  </si>
  <si>
    <t>a4</t>
  </si>
  <si>
    <t>c0</t>
  </si>
  <si>
    <t>b7</t>
  </si>
  <si>
    <t>fd</t>
  </si>
  <si>
    <t>3f</t>
  </si>
  <si>
    <t>f7</t>
  </si>
  <si>
    <t>cc</t>
  </si>
  <si>
    <t>a5</t>
  </si>
  <si>
    <t>e5</t>
  </si>
  <si>
    <t>f1</t>
  </si>
  <si>
    <t>d8</t>
  </si>
  <si>
    <t>c7</t>
  </si>
  <si>
    <t>c3</t>
  </si>
  <si>
    <t>9a</t>
  </si>
  <si>
    <t>e2</t>
  </si>
  <si>
    <t>eb</t>
  </si>
  <si>
    <t>b2</t>
  </si>
  <si>
    <t>2c</t>
  </si>
  <si>
    <t>1a</t>
  </si>
  <si>
    <t>1b</t>
  </si>
  <si>
    <t>6e</t>
  </si>
  <si>
    <t>5a</t>
  </si>
  <si>
    <t>a0</t>
  </si>
  <si>
    <t>3b</t>
  </si>
  <si>
    <t>d6</t>
  </si>
  <si>
    <t>b3</t>
  </si>
  <si>
    <t>e3</t>
  </si>
  <si>
    <t>2f</t>
  </si>
  <si>
    <t>d1</t>
  </si>
  <si>
    <t>ed</t>
  </si>
  <si>
    <t>fc</t>
  </si>
  <si>
    <t>b1</t>
  </si>
  <si>
    <t>5b</t>
  </si>
  <si>
    <t>6a</t>
  </si>
  <si>
    <t>cb</t>
  </si>
  <si>
    <t>be</t>
  </si>
  <si>
    <t>4a</t>
  </si>
  <si>
    <t>4c</t>
  </si>
  <si>
    <t>cf</t>
  </si>
  <si>
    <t>d0</t>
  </si>
  <si>
    <t>ef</t>
  </si>
  <si>
    <t>aa</t>
  </si>
  <si>
    <t>fb</t>
  </si>
  <si>
    <t>4d</t>
  </si>
  <si>
    <t>f9</t>
  </si>
  <si>
    <t>7f</t>
  </si>
  <si>
    <t>3c</t>
  </si>
  <si>
    <t>9f</t>
  </si>
  <si>
    <t>a8</t>
  </si>
  <si>
    <t>a3</t>
  </si>
  <si>
    <t>8f</t>
  </si>
  <si>
    <t>9d</t>
  </si>
  <si>
    <t>f5</t>
  </si>
  <si>
    <t>bc</t>
  </si>
  <si>
    <t>b6</t>
  </si>
  <si>
    <t>da</t>
  </si>
  <si>
    <t>ff</t>
  </si>
  <si>
    <t>f3</t>
  </si>
  <si>
    <t>d2</t>
  </si>
  <si>
    <t>cd</t>
  </si>
  <si>
    <t>0c</t>
  </si>
  <si>
    <t>ec</t>
  </si>
  <si>
    <t>5f</t>
  </si>
  <si>
    <t>c4</t>
  </si>
  <si>
    <t>a7</t>
  </si>
  <si>
    <t>7e</t>
  </si>
  <si>
    <t>3d</t>
  </si>
  <si>
    <t>5d</t>
  </si>
  <si>
    <t>4f</t>
  </si>
  <si>
    <t>dc</t>
  </si>
  <si>
    <t>2a</t>
  </si>
  <si>
    <t>ee</t>
  </si>
  <si>
    <t>b8</t>
  </si>
  <si>
    <t>de</t>
  </si>
  <si>
    <t>5e</t>
  </si>
  <si>
    <t>0b</t>
  </si>
  <si>
    <t>db</t>
  </si>
  <si>
    <t>e0</t>
  </si>
  <si>
    <t>3a</t>
  </si>
  <si>
    <t>0a</t>
  </si>
  <si>
    <t>5c</t>
  </si>
  <si>
    <t>c2</t>
  </si>
  <si>
    <t>d3</t>
  </si>
  <si>
    <t>ac</t>
  </si>
  <si>
    <t>e4</t>
  </si>
  <si>
    <t>e7</t>
  </si>
  <si>
    <t>c8</t>
  </si>
  <si>
    <t>6d</t>
  </si>
  <si>
    <t>8d</t>
  </si>
  <si>
    <t>d5</t>
  </si>
  <si>
    <t>4e</t>
  </si>
  <si>
    <t>a9</t>
  </si>
  <si>
    <t>6c</t>
  </si>
  <si>
    <t>f4</t>
  </si>
  <si>
    <t>ea</t>
  </si>
  <si>
    <t>7a</t>
  </si>
  <si>
    <t>ae</t>
  </si>
  <si>
    <t>ba</t>
  </si>
  <si>
    <t>2e</t>
  </si>
  <si>
    <t>1c</t>
  </si>
  <si>
    <t>a6</t>
  </si>
  <si>
    <t>b4</t>
  </si>
  <si>
    <t>c6</t>
  </si>
  <si>
    <t>e8</t>
  </si>
  <si>
    <t>dd</t>
  </si>
  <si>
    <t>1f</t>
  </si>
  <si>
    <t>4b</t>
  </si>
  <si>
    <t>bd</t>
  </si>
  <si>
    <t>8b</t>
  </si>
  <si>
    <t>8a</t>
  </si>
  <si>
    <t>3e</t>
  </si>
  <si>
    <t>b5</t>
  </si>
  <si>
    <t>f6</t>
  </si>
  <si>
    <t>0e</t>
  </si>
  <si>
    <t>b9</t>
  </si>
  <si>
    <t>c1</t>
  </si>
  <si>
    <t>1d</t>
  </si>
  <si>
    <t>9e</t>
  </si>
  <si>
    <t>e1</t>
  </si>
  <si>
    <t>f8</t>
  </si>
  <si>
    <t>d9</t>
  </si>
  <si>
    <t>8e</t>
  </si>
  <si>
    <t>9b</t>
  </si>
  <si>
    <t>1e</t>
  </si>
  <si>
    <t>e9</t>
  </si>
  <si>
    <t>ce</t>
  </si>
  <si>
    <t>df</t>
  </si>
  <si>
    <t>8c</t>
  </si>
  <si>
    <t>a1</t>
  </si>
  <si>
    <t>0d</t>
  </si>
  <si>
    <t>bf</t>
  </si>
  <si>
    <t>e6</t>
  </si>
  <si>
    <t>2d</t>
  </si>
  <si>
    <t>0f</t>
  </si>
  <si>
    <t>b0</t>
  </si>
  <si>
    <t>bb</t>
  </si>
  <si>
    <t>63</t>
  </si>
  <si>
    <t>77</t>
  </si>
  <si>
    <t>30</t>
  </si>
  <si>
    <t>01</t>
  </si>
  <si>
    <t>67</t>
  </si>
  <si>
    <t>76</t>
  </si>
  <si>
    <t>82</t>
  </si>
  <si>
    <t>59</t>
  </si>
  <si>
    <t>47</t>
  </si>
  <si>
    <t>72</t>
  </si>
  <si>
    <t>93</t>
  </si>
  <si>
    <t>26</t>
  </si>
  <si>
    <t>36</t>
  </si>
  <si>
    <t>34</t>
  </si>
  <si>
    <t>71</t>
  </si>
  <si>
    <t>31</t>
  </si>
  <si>
    <t>15</t>
  </si>
  <si>
    <t>04</t>
  </si>
  <si>
    <t>23</t>
  </si>
  <si>
    <t>18</t>
  </si>
  <si>
    <t>96</t>
  </si>
  <si>
    <t>05</t>
  </si>
  <si>
    <t>07</t>
  </si>
  <si>
    <t>12</t>
  </si>
  <si>
    <t>80</t>
  </si>
  <si>
    <t>27</t>
  </si>
  <si>
    <t>75</t>
  </si>
  <si>
    <t>09</t>
  </si>
  <si>
    <t>83</t>
  </si>
  <si>
    <t>52</t>
  </si>
  <si>
    <t>29</t>
  </si>
  <si>
    <t>84</t>
  </si>
  <si>
    <t>53</t>
  </si>
  <si>
    <t>00</t>
  </si>
  <si>
    <t>20</t>
  </si>
  <si>
    <t>39</t>
  </si>
  <si>
    <t>58</t>
  </si>
  <si>
    <t>43</t>
  </si>
  <si>
    <t>33</t>
  </si>
  <si>
    <t>85</t>
  </si>
  <si>
    <t>45</t>
  </si>
  <si>
    <t>02</t>
  </si>
  <si>
    <t>50</t>
  </si>
  <si>
    <t>51</t>
  </si>
  <si>
    <t>40</t>
  </si>
  <si>
    <t>92</t>
  </si>
  <si>
    <t>38</t>
  </si>
  <si>
    <t>21</t>
  </si>
  <si>
    <t>10</t>
  </si>
  <si>
    <t>13</t>
  </si>
  <si>
    <t>97</t>
  </si>
  <si>
    <t>44</t>
  </si>
  <si>
    <t>17</t>
  </si>
  <si>
    <t>64</t>
  </si>
  <si>
    <t>19</t>
  </si>
  <si>
    <t>73</t>
  </si>
  <si>
    <t>60</t>
  </si>
  <si>
    <t>81</t>
  </si>
  <si>
    <t>22</t>
  </si>
  <si>
    <t>90</t>
  </si>
  <si>
    <t>88</t>
  </si>
  <si>
    <t>46</t>
  </si>
  <si>
    <t>14</t>
  </si>
  <si>
    <t>32</t>
  </si>
  <si>
    <t>49</t>
  </si>
  <si>
    <t>06</t>
  </si>
  <si>
    <t>24</t>
  </si>
  <si>
    <t>62</t>
  </si>
  <si>
    <t>91</t>
  </si>
  <si>
    <t>95</t>
  </si>
  <si>
    <t>79</t>
  </si>
  <si>
    <t>37</t>
  </si>
  <si>
    <t>56</t>
  </si>
  <si>
    <t>65</t>
  </si>
  <si>
    <t>08</t>
  </si>
  <si>
    <t>78</t>
  </si>
  <si>
    <t>25</t>
  </si>
  <si>
    <t>74</t>
  </si>
  <si>
    <t>70</t>
  </si>
  <si>
    <t>66</t>
  </si>
  <si>
    <t>48</t>
  </si>
  <si>
    <t>03</t>
  </si>
  <si>
    <t>61</t>
  </si>
  <si>
    <t>35</t>
  </si>
  <si>
    <t>57</t>
  </si>
  <si>
    <t>86</t>
  </si>
  <si>
    <t>98</t>
  </si>
  <si>
    <t>11</t>
  </si>
  <si>
    <t>69</t>
  </si>
  <si>
    <t>94</t>
  </si>
  <si>
    <t>87</t>
  </si>
  <si>
    <t>55</t>
  </si>
  <si>
    <t>28</t>
  </si>
  <si>
    <t>89</t>
  </si>
  <si>
    <t>42</t>
  </si>
  <si>
    <t>68</t>
  </si>
  <si>
    <t>41</t>
  </si>
  <si>
    <t>99</t>
  </si>
  <si>
    <t>54</t>
  </si>
  <si>
    <t>16</t>
  </si>
  <si>
    <t>HEX</t>
    <phoneticPr fontId="1" type="noConversion"/>
  </si>
  <si>
    <t>DES_암호화_과정.xlxs 파일을 참고하여 최대한 세분화 단계로 나눠 표현</t>
    <phoneticPr fontId="1" type="noConversion"/>
  </si>
  <si>
    <t>각 단계별 주석을 붙이고, 계산식을 활용하여 자동 계산할 수 있도록 함</t>
    <phoneticPr fontId="1" type="noConversion"/>
  </si>
  <si>
    <t>일부 연산과정이 계산식 활용이 어려운 경우, 임의로 값을 기입하여 완성</t>
    <phoneticPr fontId="1" type="noConversion"/>
  </si>
  <si>
    <t>※ 해당 S-box를 참고하되, 앞 시트 연산(키생성, 암호화 과정)을 위해서 표를 수정해도 무관함</t>
    <phoneticPr fontId="1" type="noConversion"/>
  </si>
  <si>
    <t>&lt;- 값을 수식을 통해</t>
    <phoneticPr fontId="1" type="noConversion"/>
  </si>
  <si>
    <t>출력하도록 작성</t>
    <phoneticPr fontId="1" type="noConversion"/>
  </si>
  <si>
    <t>2b7e151628aed2a6abf7158809cf4f3c</t>
    <phoneticPr fontId="1" type="noConversion"/>
  </si>
  <si>
    <t>Cipher key</t>
    <phoneticPr fontId="1" type="noConversion"/>
  </si>
  <si>
    <t>RotWord</t>
    <phoneticPr fontId="1" type="noConversion"/>
  </si>
  <si>
    <t>SubBytes</t>
    <phoneticPr fontId="1" type="noConversion"/>
  </si>
  <si>
    <t>Rcon</t>
    <phoneticPr fontId="1" type="noConversion"/>
  </si>
  <si>
    <t>01</t>
    <phoneticPr fontId="1" type="noConversion"/>
  </si>
  <si>
    <t>04</t>
    <phoneticPr fontId="1" type="noConversion"/>
  </si>
  <si>
    <t>00</t>
    <phoneticPr fontId="1" type="noConversion"/>
  </si>
  <si>
    <t>1b</t>
    <phoneticPr fontId="1" type="noConversion"/>
  </si>
  <si>
    <t>RoundKey1</t>
    <phoneticPr fontId="1" type="noConversion"/>
  </si>
  <si>
    <t>1라운드 암호키</t>
    <phoneticPr fontId="1" type="noConversion"/>
  </si>
  <si>
    <t>2라운드 암호키</t>
    <phoneticPr fontId="1" type="noConversion"/>
  </si>
  <si>
    <t>1. RotWord : 이전 열(Wi-1)을 가져와서 위로 회전 시프트</t>
    <phoneticPr fontId="1" type="noConversion"/>
  </si>
  <si>
    <t xml:space="preserve">   DEC2HEX() 함수로 16진수로 변환하고, LOWER() 함수로 소문자로 바꿔준다.</t>
    <phoneticPr fontId="1" type="noConversion"/>
  </si>
  <si>
    <t>2. HEX2DEC() 함수를 통해 10진수로 변환 후 S-box에 있는 데이터를 가져온다.</t>
    <phoneticPr fontId="1" type="noConversion"/>
  </si>
  <si>
    <t>After AddRoundKey</t>
  </si>
  <si>
    <t>1라운드 AES 계산 입력</t>
    <phoneticPr fontId="1" type="noConversion"/>
  </si>
  <si>
    <t>1. HEX2DEC() 함수를 통해 10진수로 변환 후 평문과 암호문을 BITXOR() 함수로 XOR을 한 뒤,</t>
    <phoneticPr fontId="1" type="noConversion"/>
  </si>
  <si>
    <t>3. HEX2DEC() 함수를 통해 10진수로 변환 후 Rcon과 나머지 열 들을 BITXOR() 함수로 XOR을 한 뒤</t>
    <phoneticPr fontId="1" type="noConversion"/>
  </si>
  <si>
    <t>1라운드 AES 계산 결과 (=2라운드 AES 계산 입력)</t>
    <phoneticPr fontId="1" type="noConversion"/>
  </si>
  <si>
    <t>After ShiftRows</t>
  </si>
  <si>
    <t>After MixColumns</t>
  </si>
  <si>
    <t>MixColumns Round1</t>
    <phoneticPr fontId="1" type="noConversion"/>
  </si>
  <si>
    <t>Round key</t>
    <phoneticPr fontId="1" type="noConversion"/>
  </si>
  <si>
    <t>2라운드 AES 계산 결과 (=3라운드 AES 계산 입력)</t>
    <phoneticPr fontId="1" type="noConversion"/>
  </si>
  <si>
    <t>MixColumns Round2</t>
    <phoneticPr fontId="1" type="noConversion"/>
  </si>
  <si>
    <t>1. HEX2DEC() 함수를 통해 10진수로 변환 후</t>
    <phoneticPr fontId="1" type="noConversion"/>
  </si>
  <si>
    <t xml:space="preserve">    S-box에 있는 데이터를 가져온다.</t>
    <phoneticPr fontId="1" type="noConversion"/>
  </si>
  <si>
    <t>2. 0번째줄은 이동하지 않고, 1번째 줄은 왼쪽으로 한 칸 이동,</t>
    <phoneticPr fontId="1" type="noConversion"/>
  </si>
  <si>
    <t xml:space="preserve">    2번째 줄은 왼쪽으로 두 칸 이동, 3번째 줄은 왼쪽으로 세 칸 이동</t>
    <phoneticPr fontId="1" type="noConversion"/>
  </si>
  <si>
    <t xml:space="preserve">3. DEC2HEX(), BITXOR(), HEX2DEC() 함수들을 통해 </t>
    <phoneticPr fontId="1" type="noConversion"/>
  </si>
  <si>
    <t xml:space="preserve">    MixColumns을 계산</t>
    <phoneticPr fontId="1" type="noConversion"/>
  </si>
  <si>
    <t xml:space="preserve">   평문과 암호문을 BITXOR() 함수로 XOR을 한 뒤,</t>
    <phoneticPr fontId="1" type="noConversion"/>
  </si>
  <si>
    <t>4. HEX2DEC() 함수를 통해 10진수로 변환 후</t>
    <phoneticPr fontId="1" type="noConversion"/>
  </si>
  <si>
    <t xml:space="preserve">   DEC2HEX() 함수로 16진수로 변환하고,</t>
    <phoneticPr fontId="1" type="noConversion"/>
  </si>
  <si>
    <t xml:space="preserve">   LOWER() 함수로 소문자로 바꿔준다.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</si>
</sst>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###"/>
    <numFmt numFmtId="177" formatCode="0_);\(0\)"/>
    <numFmt numFmtId="178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2" borderId="2" applyNumberFormat="0" applyFont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9" fillId="0" borderId="0" xfId="0" quotePrefix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178" fontId="3" fillId="0" borderId="0" xfId="0" quotePrefix="1" applyNumberFormat="1" applyFont="1" applyAlignment="1">
      <alignment horizontal="center" vertical="center"/>
    </xf>
    <xf numFmtId="178" fontId="3" fillId="0" borderId="1" xfId="0" quotePrefix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0" xfId="0" applyNumberFormat="1" applyFo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77"/>
  <sheetViews>
    <sheetView tabSelected="1" topLeftCell="H26" workbookViewId="0">
      <selection activeCell="K38" sqref="K38"/>
    </sheetView>
  </sheetViews>
  <sheetFormatPr defaultRowHeight="17.399999999999999" x14ac:dyDescent="0.4"/>
  <cols>
    <col min="1" max="1" width="1.59765625" customWidth="1"/>
    <col min="3" max="7" width="3.59765625" customWidth="1"/>
    <col min="8" max="8" width="19.3984375" customWidth="1"/>
    <col min="9" max="9" width="23.8984375" bestFit="1" customWidth="1"/>
    <col min="10" max="10" width="1.59765625" customWidth="1"/>
    <col min="11" max="26" width="3.59765625" customWidth="1"/>
  </cols>
  <sheetData>
    <row r="1" spans="2:26" ht="21" x14ac:dyDescent="0.4">
      <c r="B1" s="7" t="s">
        <v>0</v>
      </c>
    </row>
    <row r="2" spans="2:26" ht="21" x14ac:dyDescent="0.4">
      <c r="B2" s="7" t="s">
        <v>1</v>
      </c>
    </row>
    <row r="3" spans="2:26" ht="21" x14ac:dyDescent="0.4">
      <c r="B3" s="7" t="s">
        <v>2</v>
      </c>
    </row>
    <row r="5" spans="2:26" ht="21" x14ac:dyDescent="0.4">
      <c r="B5" s="7" t="s">
        <v>13</v>
      </c>
    </row>
    <row r="6" spans="2:26" x14ac:dyDescent="0.4">
      <c r="B6" s="2" t="s">
        <v>3</v>
      </c>
    </row>
    <row r="7" spans="2:26" x14ac:dyDescent="0.4">
      <c r="B7" s="2" t="s">
        <v>8</v>
      </c>
    </row>
    <row r="9" spans="2:26" x14ac:dyDescent="0.4">
      <c r="B9" s="2" t="s">
        <v>4</v>
      </c>
      <c r="C9" s="4" t="s">
        <v>318</v>
      </c>
      <c r="I9" t="s">
        <v>7</v>
      </c>
      <c r="K9" s="1">
        <v>0</v>
      </c>
      <c r="L9" s="1">
        <v>1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1">
        <v>7</v>
      </c>
      <c r="S9" s="1">
        <v>8</v>
      </c>
      <c r="T9" s="1">
        <v>9</v>
      </c>
      <c r="U9" s="1">
        <v>10</v>
      </c>
      <c r="V9" s="1">
        <v>11</v>
      </c>
      <c r="W9" s="1">
        <v>12</v>
      </c>
      <c r="X9" s="1">
        <v>13</v>
      </c>
      <c r="Y9" s="1">
        <v>14</v>
      </c>
      <c r="Z9" s="1">
        <v>15</v>
      </c>
    </row>
    <row r="10" spans="2:26" x14ac:dyDescent="0.4">
      <c r="C10" s="3"/>
      <c r="I10" t="s">
        <v>9</v>
      </c>
      <c r="K10" s="6" t="str">
        <f>MID($C9,2*K9+1,2)</f>
        <v>2b</v>
      </c>
      <c r="L10" s="6" t="str">
        <f t="shared" ref="L10:Z10" si="0">MID($C9,2*L9+1,2)</f>
        <v>7e</v>
      </c>
      <c r="M10" s="6" t="str">
        <f t="shared" si="0"/>
        <v>15</v>
      </c>
      <c r="N10" s="6" t="str">
        <f t="shared" si="0"/>
        <v>16</v>
      </c>
      <c r="O10" s="6" t="str">
        <f t="shared" si="0"/>
        <v>28</v>
      </c>
      <c r="P10" s="6" t="str">
        <f t="shared" si="0"/>
        <v>ae</v>
      </c>
      <c r="Q10" s="6" t="str">
        <f t="shared" si="0"/>
        <v>d2</v>
      </c>
      <c r="R10" s="6" t="str">
        <f t="shared" si="0"/>
        <v>a6</v>
      </c>
      <c r="S10" s="6" t="str">
        <f t="shared" si="0"/>
        <v>ab</v>
      </c>
      <c r="T10" s="6" t="str">
        <f t="shared" si="0"/>
        <v>f7</v>
      </c>
      <c r="U10" s="6" t="str">
        <f t="shared" si="0"/>
        <v>15</v>
      </c>
      <c r="V10" s="6" t="str">
        <f t="shared" si="0"/>
        <v>88</v>
      </c>
      <c r="W10" s="6" t="str">
        <f t="shared" si="0"/>
        <v>09</v>
      </c>
      <c r="X10" s="6" t="str">
        <f t="shared" si="0"/>
        <v>cf</v>
      </c>
      <c r="Y10" s="6" t="str">
        <f t="shared" si="0"/>
        <v>4f</v>
      </c>
      <c r="Z10" s="6" t="str">
        <f t="shared" si="0"/>
        <v>3c</v>
      </c>
    </row>
    <row r="11" spans="2:26" x14ac:dyDescent="0.4">
      <c r="C11" s="5"/>
      <c r="D11" s="1">
        <v>0</v>
      </c>
      <c r="E11" s="1">
        <v>1</v>
      </c>
      <c r="F11" s="1">
        <v>2</v>
      </c>
      <c r="G11" s="1">
        <v>3</v>
      </c>
    </row>
    <row r="12" spans="2:26" x14ac:dyDescent="0.4">
      <c r="C12" s="5">
        <v>0</v>
      </c>
      <c r="D12" s="6" t="str">
        <f>INDEX($K$10:$Z$10,4*D$11+$C12+1)</f>
        <v>2b</v>
      </c>
      <c r="E12" s="6" t="str">
        <f t="shared" ref="D12:G15" si="1">INDEX($K$10:$Z$10,4*E$11+$C12+1)</f>
        <v>28</v>
      </c>
      <c r="F12" s="6" t="str">
        <f t="shared" si="1"/>
        <v>ab</v>
      </c>
      <c r="G12" s="6" t="str">
        <f t="shared" si="1"/>
        <v>09</v>
      </c>
    </row>
    <row r="13" spans="2:26" x14ac:dyDescent="0.4">
      <c r="C13" s="5">
        <v>1</v>
      </c>
      <c r="D13" s="6" t="str">
        <f t="shared" si="1"/>
        <v>7e</v>
      </c>
      <c r="E13" s="6" t="str">
        <f t="shared" si="1"/>
        <v>ae</v>
      </c>
      <c r="F13" s="6" t="str">
        <f t="shared" si="1"/>
        <v>f7</v>
      </c>
      <c r="G13" s="6" t="str">
        <f t="shared" si="1"/>
        <v>cf</v>
      </c>
    </row>
    <row r="14" spans="2:26" x14ac:dyDescent="0.4">
      <c r="C14" s="5">
        <v>2</v>
      </c>
      <c r="D14" s="6" t="str">
        <f t="shared" si="1"/>
        <v>15</v>
      </c>
      <c r="E14" s="6" t="str">
        <f t="shared" si="1"/>
        <v>d2</v>
      </c>
      <c r="F14" s="6" t="str">
        <f t="shared" si="1"/>
        <v>15</v>
      </c>
      <c r="G14" s="6" t="str">
        <f t="shared" si="1"/>
        <v>4f</v>
      </c>
    </row>
    <row r="15" spans="2:26" x14ac:dyDescent="0.4">
      <c r="C15" s="1">
        <v>3</v>
      </c>
      <c r="D15" s="6" t="str">
        <f t="shared" si="1"/>
        <v>16</v>
      </c>
      <c r="E15" s="6" t="str">
        <f t="shared" si="1"/>
        <v>a6</v>
      </c>
      <c r="F15" s="6" t="str">
        <f t="shared" si="1"/>
        <v>88</v>
      </c>
      <c r="G15" s="6" t="str">
        <f t="shared" si="1"/>
        <v>3c</v>
      </c>
    </row>
    <row r="17" spans="2:26" ht="21" x14ac:dyDescent="0.4">
      <c r="B17" s="7" t="s">
        <v>14</v>
      </c>
    </row>
    <row r="18" spans="2:26" x14ac:dyDescent="0.4">
      <c r="B18" s="2" t="s">
        <v>10</v>
      </c>
    </row>
    <row r="19" spans="2:26" x14ac:dyDescent="0.4">
      <c r="B19" s="8"/>
    </row>
    <row r="20" spans="2:26" x14ac:dyDescent="0.4">
      <c r="B20" s="2" t="s">
        <v>6</v>
      </c>
      <c r="C20" s="4" t="s">
        <v>5</v>
      </c>
      <c r="I20" t="s">
        <v>7</v>
      </c>
      <c r="K20" s="1">
        <v>0</v>
      </c>
      <c r="L20" s="1">
        <v>1</v>
      </c>
      <c r="M20" s="1">
        <v>2</v>
      </c>
      <c r="N20" s="1">
        <v>3</v>
      </c>
      <c r="O20" s="1">
        <v>4</v>
      </c>
      <c r="P20" s="1">
        <v>5</v>
      </c>
      <c r="Q20" s="1">
        <v>6</v>
      </c>
      <c r="R20" s="1">
        <v>7</v>
      </c>
      <c r="S20" s="1">
        <v>8</v>
      </c>
      <c r="T20" s="1">
        <v>9</v>
      </c>
      <c r="U20" s="1">
        <v>10</v>
      </c>
      <c r="V20" s="1">
        <v>11</v>
      </c>
      <c r="W20" s="1">
        <v>12</v>
      </c>
      <c r="X20" s="1">
        <v>13</v>
      </c>
      <c r="Y20" s="1">
        <v>14</v>
      </c>
      <c r="Z20" s="1">
        <v>15</v>
      </c>
    </row>
    <row r="21" spans="2:26" x14ac:dyDescent="0.4">
      <c r="I21" t="s">
        <v>9</v>
      </c>
      <c r="K21" s="6" t="str">
        <f>MID($C20,2*K20+1,2)</f>
        <v>32</v>
      </c>
      <c r="L21" s="6" t="str">
        <f t="shared" ref="L21" si="2">MID($C20,2*L20+1,2)</f>
        <v>43</v>
      </c>
      <c r="M21" s="6" t="str">
        <f t="shared" ref="M21" si="3">MID($C20,2*M20+1,2)</f>
        <v>f6</v>
      </c>
      <c r="N21" s="6" t="str">
        <f t="shared" ref="N21" si="4">MID($C20,2*N20+1,2)</f>
        <v>a8</v>
      </c>
      <c r="O21" s="6" t="str">
        <f t="shared" ref="O21" si="5">MID($C20,2*O20+1,2)</f>
        <v>88</v>
      </c>
      <c r="P21" s="6" t="str">
        <f t="shared" ref="P21" si="6">MID($C20,2*P20+1,2)</f>
        <v>5a</v>
      </c>
      <c r="Q21" s="6" t="str">
        <f t="shared" ref="Q21" si="7">MID($C20,2*Q20+1,2)</f>
        <v>30</v>
      </c>
      <c r="R21" s="6" t="str">
        <f t="shared" ref="R21" si="8">MID($C20,2*R20+1,2)</f>
        <v>8d</v>
      </c>
      <c r="S21" s="6" t="str">
        <f t="shared" ref="S21" si="9">MID($C20,2*S20+1,2)</f>
        <v>31</v>
      </c>
      <c r="T21" s="6" t="str">
        <f t="shared" ref="T21" si="10">MID($C20,2*T20+1,2)</f>
        <v>31</v>
      </c>
      <c r="U21" s="6" t="str">
        <f t="shared" ref="U21" si="11">MID($C20,2*U20+1,2)</f>
        <v>98</v>
      </c>
      <c r="V21" s="6" t="str">
        <f t="shared" ref="V21" si="12">MID($C20,2*V20+1,2)</f>
        <v>a2</v>
      </c>
      <c r="W21" s="6" t="str">
        <f t="shared" ref="W21" si="13">MID($C20,2*W20+1,2)</f>
        <v>e0</v>
      </c>
      <c r="X21" s="6" t="str">
        <f t="shared" ref="X21" si="14">MID($C20,2*X20+1,2)</f>
        <v>37</v>
      </c>
      <c r="Y21" s="6" t="str">
        <f t="shared" ref="Y21" si="15">MID($C20,2*Y20+1,2)</f>
        <v>07</v>
      </c>
      <c r="Z21" s="6" t="str">
        <f t="shared" ref="Z21" si="16">MID($C20,2*Z20+1,2)</f>
        <v>34</v>
      </c>
    </row>
    <row r="22" spans="2:26" x14ac:dyDescent="0.4">
      <c r="C22" s="5"/>
      <c r="D22" s="1">
        <v>0</v>
      </c>
      <c r="E22" s="1">
        <v>1</v>
      </c>
      <c r="F22" s="1">
        <v>2</v>
      </c>
      <c r="G22" s="1">
        <v>3</v>
      </c>
    </row>
    <row r="23" spans="2:26" x14ac:dyDescent="0.4">
      <c r="C23" s="5">
        <v>0</v>
      </c>
      <c r="D23" s="6" t="str">
        <f>INDEX($K$21:$Z$21,4*D$22+$C23+1)</f>
        <v>32</v>
      </c>
      <c r="E23" s="6" t="str">
        <f t="shared" ref="E23:G26" si="17">INDEX($K$21:$Z$21,4*E$22+$C23+1)</f>
        <v>88</v>
      </c>
      <c r="F23" s="6" t="str">
        <f t="shared" si="17"/>
        <v>31</v>
      </c>
      <c r="G23" s="6" t="str">
        <f t="shared" si="17"/>
        <v>e0</v>
      </c>
    </row>
    <row r="24" spans="2:26" x14ac:dyDescent="0.4">
      <c r="C24" s="5">
        <v>1</v>
      </c>
      <c r="D24" s="6" t="str">
        <f t="shared" ref="D24:D26" si="18">INDEX($K$21:$Z$21,4*D$22+$C24+1)</f>
        <v>43</v>
      </c>
      <c r="E24" s="6" t="str">
        <f t="shared" si="17"/>
        <v>5a</v>
      </c>
      <c r="F24" s="6" t="str">
        <f t="shared" si="17"/>
        <v>31</v>
      </c>
      <c r="G24" s="6" t="str">
        <f t="shared" si="17"/>
        <v>37</v>
      </c>
    </row>
    <row r="25" spans="2:26" x14ac:dyDescent="0.4">
      <c r="C25" s="5">
        <v>2</v>
      </c>
      <c r="D25" s="6" t="str">
        <f t="shared" si="18"/>
        <v>f6</v>
      </c>
      <c r="E25" s="6" t="str">
        <f t="shared" si="17"/>
        <v>30</v>
      </c>
      <c r="F25" s="6" t="str">
        <f t="shared" si="17"/>
        <v>98</v>
      </c>
      <c r="G25" s="6" t="str">
        <f t="shared" si="17"/>
        <v>07</v>
      </c>
    </row>
    <row r="26" spans="2:26" x14ac:dyDescent="0.4">
      <c r="C26" s="1">
        <v>3</v>
      </c>
      <c r="D26" s="6" t="str">
        <f t="shared" si="18"/>
        <v>a8</v>
      </c>
      <c r="E26" s="6" t="str">
        <f t="shared" si="17"/>
        <v>8d</v>
      </c>
      <c r="F26" s="6" t="str">
        <f t="shared" si="17"/>
        <v>a2</v>
      </c>
      <c r="G26" s="6" t="str">
        <f t="shared" si="17"/>
        <v>34</v>
      </c>
    </row>
    <row r="27" spans="2:26" x14ac:dyDescent="0.4">
      <c r="C27" s="9"/>
      <c r="D27" s="10"/>
      <c r="E27" s="10"/>
      <c r="F27" s="10"/>
      <c r="G27" s="10"/>
    </row>
    <row r="28" spans="2:26" ht="21" x14ac:dyDescent="0.4">
      <c r="B28" s="7" t="s">
        <v>36</v>
      </c>
      <c r="C28" s="9"/>
      <c r="D28" s="10"/>
      <c r="E28" s="10"/>
      <c r="F28" s="10"/>
      <c r="G28" s="10"/>
    </row>
    <row r="29" spans="2:26" x14ac:dyDescent="0.4">
      <c r="C29" s="5"/>
      <c r="D29" s="1">
        <v>0</v>
      </c>
      <c r="E29" s="1">
        <v>1</v>
      </c>
      <c r="F29" s="1">
        <v>2</v>
      </c>
      <c r="G29" s="1">
        <v>3</v>
      </c>
      <c r="I29" t="s">
        <v>7</v>
      </c>
      <c r="K29" s="1">
        <v>0</v>
      </c>
      <c r="L29" s="1">
        <v>1</v>
      </c>
      <c r="M29" s="1">
        <v>2</v>
      </c>
      <c r="N29" s="1">
        <v>3</v>
      </c>
      <c r="O29" s="1">
        <v>4</v>
      </c>
      <c r="P29" s="1">
        <v>5</v>
      </c>
      <c r="Q29" s="1">
        <v>6</v>
      </c>
      <c r="R29" s="1">
        <v>7</v>
      </c>
      <c r="S29" s="1">
        <v>8</v>
      </c>
      <c r="T29" s="1">
        <v>9</v>
      </c>
      <c r="U29" s="1">
        <v>10</v>
      </c>
      <c r="V29" s="1">
        <v>11</v>
      </c>
      <c r="W29" s="1">
        <v>12</v>
      </c>
      <c r="X29" s="1">
        <v>13</v>
      </c>
      <c r="Y29" s="1">
        <v>14</v>
      </c>
      <c r="Z29" s="1">
        <v>15</v>
      </c>
    </row>
    <row r="30" spans="2:26" x14ac:dyDescent="0.4">
      <c r="C30" s="5">
        <v>0</v>
      </c>
      <c r="D30" s="11" t="str">
        <f t="shared" ref="D30:G33" si="19">INDEX($K$41:$Z$41,4*D$29+$C30+1)</f>
        <v>a0</v>
      </c>
      <c r="E30" s="11" t="str">
        <f t="shared" si="19"/>
        <v>88</v>
      </c>
      <c r="F30" s="11" t="str">
        <f t="shared" si="19"/>
        <v>23</v>
      </c>
      <c r="G30" s="11" t="str">
        <f t="shared" si="19"/>
        <v>2a</v>
      </c>
      <c r="H30" s="15" t="s">
        <v>316</v>
      </c>
      <c r="I30" t="s">
        <v>25</v>
      </c>
      <c r="K30" s="18" t="str">
        <f>'키생성과정(Key Scheduling)'!D10</f>
        <v>2b</v>
      </c>
      <c r="L30" s="18" t="str">
        <f>'키생성과정(Key Scheduling)'!D11</f>
        <v>7e</v>
      </c>
      <c r="M30" s="18" t="str">
        <f>'키생성과정(Key Scheduling)'!D12</f>
        <v>15</v>
      </c>
      <c r="N30" s="18" t="str">
        <f>'키생성과정(Key Scheduling)'!D13</f>
        <v>16</v>
      </c>
      <c r="O30" s="18" t="str">
        <f>'키생성과정(Key Scheduling)'!E10</f>
        <v>28</v>
      </c>
      <c r="P30" s="18" t="str">
        <f>'키생성과정(Key Scheduling)'!E11</f>
        <v>ae</v>
      </c>
      <c r="Q30" s="18" t="str">
        <f>'키생성과정(Key Scheduling)'!E12</f>
        <v>d2</v>
      </c>
      <c r="R30" s="18" t="str">
        <f>'키생성과정(Key Scheduling)'!E13</f>
        <v>a6</v>
      </c>
      <c r="S30" s="18" t="str">
        <f>'키생성과정(Key Scheduling)'!F10</f>
        <v>ab</v>
      </c>
      <c r="T30" s="18" t="str">
        <f>'키생성과정(Key Scheduling)'!F11</f>
        <v>f7</v>
      </c>
      <c r="U30" s="18" t="str">
        <f>'키생성과정(Key Scheduling)'!F12</f>
        <v>15</v>
      </c>
      <c r="V30" s="18" t="str">
        <f>'키생성과정(Key Scheduling)'!F13</f>
        <v>88</v>
      </c>
      <c r="W30" s="18" t="str">
        <f>'키생성과정(Key Scheduling)'!G10</f>
        <v>09</v>
      </c>
      <c r="X30" s="18" t="str">
        <f>'키생성과정(Key Scheduling)'!G11</f>
        <v>cf</v>
      </c>
      <c r="Y30" s="18" t="str">
        <f>'키생성과정(Key Scheduling)'!G12</f>
        <v>4f</v>
      </c>
      <c r="Z30" s="18" t="str">
        <f>'키생성과정(Key Scheduling)'!G13</f>
        <v>3c</v>
      </c>
    </row>
    <row r="31" spans="2:26" x14ac:dyDescent="0.4">
      <c r="C31" s="5">
        <v>1</v>
      </c>
      <c r="D31" s="11" t="str">
        <f t="shared" si="19"/>
        <v>fa</v>
      </c>
      <c r="E31" s="11" t="str">
        <f t="shared" si="19"/>
        <v>54</v>
      </c>
      <c r="F31" s="11" t="str">
        <f t="shared" si="19"/>
        <v>a3</v>
      </c>
      <c r="G31" s="11" t="str">
        <f t="shared" si="19"/>
        <v>6c</v>
      </c>
      <c r="H31" s="15" t="s">
        <v>317</v>
      </c>
      <c r="I31" t="s">
        <v>26</v>
      </c>
    </row>
    <row r="32" spans="2:26" x14ac:dyDescent="0.4">
      <c r="C32" s="5">
        <v>2</v>
      </c>
      <c r="D32" s="11" t="str">
        <f t="shared" si="19"/>
        <v>fe</v>
      </c>
      <c r="E32" s="11" t="str">
        <f t="shared" si="19"/>
        <v>2c</v>
      </c>
      <c r="F32" s="11" t="str">
        <f t="shared" si="19"/>
        <v>39</v>
      </c>
      <c r="G32" s="11" t="str">
        <f t="shared" si="19"/>
        <v>76</v>
      </c>
      <c r="I32" t="s">
        <v>30</v>
      </c>
      <c r="K32" s="12" t="str">
        <f>'키생성과정(Key Scheduling)'!J13</f>
        <v>09</v>
      </c>
      <c r="L32" s="12" t="str">
        <f>'키생성과정(Key Scheduling)'!J10</f>
        <v>cf</v>
      </c>
      <c r="M32" s="12" t="str">
        <f>'키생성과정(Key Scheduling)'!J11</f>
        <v>4f</v>
      </c>
      <c r="N32" s="12" t="str">
        <f>'키생성과정(Key Scheduling)'!J12</f>
        <v>3c</v>
      </c>
    </row>
    <row r="33" spans="2:26" x14ac:dyDescent="0.4">
      <c r="C33" s="1">
        <v>3</v>
      </c>
      <c r="D33" s="11" t="str">
        <f t="shared" si="19"/>
        <v>17</v>
      </c>
      <c r="E33" s="11" t="str">
        <f t="shared" si="19"/>
        <v>b1</v>
      </c>
      <c r="F33" s="11" t="str">
        <f t="shared" si="19"/>
        <v>39</v>
      </c>
      <c r="G33" s="11" t="str">
        <f t="shared" si="19"/>
        <v>05</v>
      </c>
      <c r="I33" t="s">
        <v>31</v>
      </c>
      <c r="K33" s="12" t="str">
        <f>'키생성과정(Key Scheduling)'!J10</f>
        <v>cf</v>
      </c>
      <c r="L33" s="12" t="str">
        <f>'키생성과정(Key Scheduling)'!J11</f>
        <v>4f</v>
      </c>
      <c r="M33" s="12" t="str">
        <f>'키생성과정(Key Scheduling)'!J12</f>
        <v>3c</v>
      </c>
      <c r="N33" s="12" t="str">
        <f>'키생성과정(Key Scheduling)'!J13</f>
        <v>09</v>
      </c>
    </row>
    <row r="34" spans="2:26" x14ac:dyDescent="0.4">
      <c r="C34" s="9"/>
      <c r="D34" s="10"/>
      <c r="E34" s="10"/>
      <c r="F34" s="10"/>
      <c r="G34" s="10"/>
      <c r="I34" t="s">
        <v>32</v>
      </c>
      <c r="K34" s="12" t="str">
        <f>'키생성과정(Key Scheduling)'!M10</f>
        <v>8a</v>
      </c>
      <c r="L34" s="12" t="str">
        <f>'키생성과정(Key Scheduling)'!M11</f>
        <v>84</v>
      </c>
      <c r="M34" s="12" t="str">
        <f>'키생성과정(Key Scheduling)'!M12</f>
        <v>eb</v>
      </c>
      <c r="N34" s="12" t="str">
        <f>'키생성과정(Key Scheduling)'!M13</f>
        <v>01</v>
      </c>
    </row>
    <row r="35" spans="2:26" x14ac:dyDescent="0.4">
      <c r="C35" s="9"/>
      <c r="D35" s="10"/>
      <c r="E35" s="10"/>
      <c r="F35" s="10"/>
      <c r="G35" s="10"/>
      <c r="I35" t="s">
        <v>33</v>
      </c>
      <c r="K35" s="12" t="str">
        <f>'키생성과정(Key Scheduling)'!P10</f>
        <v>01</v>
      </c>
      <c r="L35" s="12" t="str">
        <f>'키생성과정(Key Scheduling)'!P11</f>
        <v>00</v>
      </c>
      <c r="M35" s="12" t="str">
        <f>'키생성과정(Key Scheduling)'!P12</f>
        <v>00</v>
      </c>
      <c r="N35" s="12" t="str">
        <f>'키생성과정(Key Scheduling)'!P13</f>
        <v>00</v>
      </c>
    </row>
    <row r="36" spans="2:26" x14ac:dyDescent="0.4">
      <c r="C36" s="9"/>
      <c r="D36" s="10"/>
      <c r="E36" s="10"/>
      <c r="F36" s="10"/>
      <c r="G36" s="10"/>
      <c r="I36" t="s">
        <v>34</v>
      </c>
      <c r="K36" s="12" t="str">
        <f>'키생성과정(Key Scheduling)'!D10</f>
        <v>2b</v>
      </c>
      <c r="L36" s="12" t="str">
        <f>'키생성과정(Key Scheduling)'!D11</f>
        <v>7e</v>
      </c>
      <c r="M36" s="12" t="str">
        <f>'키생성과정(Key Scheduling)'!D12</f>
        <v>15</v>
      </c>
      <c r="N36" s="12" t="str">
        <f>'키생성과정(Key Scheduling)'!D13</f>
        <v>16</v>
      </c>
    </row>
    <row r="37" spans="2:26" x14ac:dyDescent="0.4">
      <c r="C37" s="9"/>
      <c r="D37" s="10"/>
      <c r="E37" s="10"/>
      <c r="F37" s="10"/>
      <c r="G37" s="10"/>
      <c r="I37" t="s">
        <v>35</v>
      </c>
      <c r="K37" s="12" t="str">
        <f>'키생성과정(Key Scheduling)'!D17</f>
        <v>a0</v>
      </c>
      <c r="L37" s="12" t="str">
        <f>'키생성과정(Key Scheduling)'!D18</f>
        <v>fa</v>
      </c>
      <c r="M37" s="12" t="str">
        <f>'키생성과정(Key Scheduling)'!D19</f>
        <v>fe</v>
      </c>
      <c r="N37" s="12" t="str">
        <f>'키생성과정(Key Scheduling)'!D20</f>
        <v>17</v>
      </c>
    </row>
    <row r="38" spans="2:26" x14ac:dyDescent="0.4">
      <c r="C38" s="9"/>
      <c r="D38" s="10"/>
      <c r="E38" s="10"/>
      <c r="F38" s="10"/>
      <c r="G38" s="10"/>
      <c r="I38" t="s">
        <v>27</v>
      </c>
      <c r="K38" s="12" t="str">
        <f>'키생성과정(Key Scheduling)'!E17</f>
        <v>88</v>
      </c>
      <c r="L38" s="12" t="str">
        <f>'키생성과정(Key Scheduling)'!E18</f>
        <v>54</v>
      </c>
      <c r="M38" s="12" t="str">
        <f>'키생성과정(Key Scheduling)'!E19</f>
        <v>2c</v>
      </c>
      <c r="N38" s="12" t="str">
        <f>'키생성과정(Key Scheduling)'!E20</f>
        <v>b1</v>
      </c>
    </row>
    <row r="39" spans="2:26" x14ac:dyDescent="0.4">
      <c r="C39" s="9"/>
      <c r="D39" s="10"/>
      <c r="E39" s="10"/>
      <c r="F39" s="10"/>
      <c r="G39" s="10"/>
      <c r="I39" t="s">
        <v>28</v>
      </c>
      <c r="K39" s="12" t="str">
        <f>'키생성과정(Key Scheduling)'!F17</f>
        <v>23</v>
      </c>
      <c r="L39" s="12" t="str">
        <f>'키생성과정(Key Scheduling)'!F18</f>
        <v>a3</v>
      </c>
      <c r="M39" s="12" t="str">
        <f>'키생성과정(Key Scheduling)'!F19</f>
        <v>39</v>
      </c>
      <c r="N39" s="12" t="str">
        <f>'키생성과정(Key Scheduling)'!F20</f>
        <v>39</v>
      </c>
    </row>
    <row r="40" spans="2:26" x14ac:dyDescent="0.4">
      <c r="C40" s="9"/>
      <c r="D40" s="10"/>
      <c r="E40" s="10"/>
      <c r="F40" s="10"/>
      <c r="G40" s="10"/>
      <c r="I40" t="s">
        <v>29</v>
      </c>
      <c r="K40" s="27" t="str">
        <f>'키생성과정(Key Scheduling)'!G17</f>
        <v>2a</v>
      </c>
      <c r="L40" s="27" t="str">
        <f>'키생성과정(Key Scheduling)'!G18</f>
        <v>6c</v>
      </c>
      <c r="M40" s="27" t="str">
        <f>'키생성과정(Key Scheduling)'!G19</f>
        <v>76</v>
      </c>
      <c r="N40" s="27" t="str">
        <f>'키생성과정(Key Scheduling)'!G20</f>
        <v>05</v>
      </c>
    </row>
    <row r="41" spans="2:26" x14ac:dyDescent="0.4">
      <c r="C41" s="9"/>
      <c r="D41" s="10"/>
      <c r="E41" s="10"/>
      <c r="F41" s="10"/>
      <c r="G41" s="10"/>
      <c r="K41" s="1" t="str">
        <f>'키생성과정(Key Scheduling)'!D17</f>
        <v>a0</v>
      </c>
      <c r="L41" s="1" t="str">
        <f>'키생성과정(Key Scheduling)'!D18</f>
        <v>fa</v>
      </c>
      <c r="M41" s="1" t="str">
        <f>'키생성과정(Key Scheduling)'!D19</f>
        <v>fe</v>
      </c>
      <c r="N41" s="1" t="str">
        <f>'키생성과정(Key Scheduling)'!D20</f>
        <v>17</v>
      </c>
      <c r="O41" s="1" t="str">
        <f>'키생성과정(Key Scheduling)'!E17</f>
        <v>88</v>
      </c>
      <c r="P41" s="1" t="str">
        <f>'키생성과정(Key Scheduling)'!E18</f>
        <v>54</v>
      </c>
      <c r="Q41" s="1" t="str">
        <f>'키생성과정(Key Scheduling)'!E19</f>
        <v>2c</v>
      </c>
      <c r="R41" s="1" t="str">
        <f>'키생성과정(Key Scheduling)'!E20</f>
        <v>b1</v>
      </c>
      <c r="S41" s="1" t="str">
        <f>'키생성과정(Key Scheduling)'!F17</f>
        <v>23</v>
      </c>
      <c r="T41" s="1" t="str">
        <f>'키생성과정(Key Scheduling)'!F18</f>
        <v>a3</v>
      </c>
      <c r="U41" s="1" t="str">
        <f>'키생성과정(Key Scheduling)'!F19</f>
        <v>39</v>
      </c>
      <c r="V41" s="1" t="str">
        <f>'키생성과정(Key Scheduling)'!F20</f>
        <v>39</v>
      </c>
      <c r="W41" s="1" t="str">
        <f>'키생성과정(Key Scheduling)'!G17</f>
        <v>2a</v>
      </c>
      <c r="X41" s="1" t="str">
        <f>'키생성과정(Key Scheduling)'!G18</f>
        <v>6c</v>
      </c>
      <c r="Y41" s="1" t="str">
        <f>'키생성과정(Key Scheduling)'!G19</f>
        <v>76</v>
      </c>
      <c r="Z41" s="1" t="str">
        <f>'키생성과정(Key Scheduling)'!G20</f>
        <v>05</v>
      </c>
    </row>
    <row r="42" spans="2:26" ht="21" x14ac:dyDescent="0.4">
      <c r="B42" s="7" t="s">
        <v>37</v>
      </c>
      <c r="C42" s="9"/>
      <c r="D42" s="10"/>
      <c r="E42" s="10"/>
      <c r="F42" s="10"/>
      <c r="G42" s="10"/>
    </row>
    <row r="43" spans="2:26" x14ac:dyDescent="0.4">
      <c r="C43" s="5"/>
      <c r="D43" s="1">
        <v>0</v>
      </c>
      <c r="E43" s="1">
        <v>1</v>
      </c>
      <c r="F43" s="1">
        <v>2</v>
      </c>
      <c r="G43" s="1">
        <v>3</v>
      </c>
      <c r="I43" t="s">
        <v>7</v>
      </c>
      <c r="K43" s="1">
        <v>0</v>
      </c>
      <c r="L43" s="1">
        <v>1</v>
      </c>
      <c r="M43" s="1">
        <v>2</v>
      </c>
      <c r="N43" s="1">
        <v>3</v>
      </c>
      <c r="O43" s="1">
        <v>4</v>
      </c>
      <c r="P43" s="1">
        <v>5</v>
      </c>
      <c r="Q43" s="1">
        <v>6</v>
      </c>
      <c r="R43" s="1">
        <v>7</v>
      </c>
      <c r="S43" s="1">
        <v>8</v>
      </c>
      <c r="T43" s="1">
        <v>9</v>
      </c>
      <c r="U43" s="1">
        <v>10</v>
      </c>
      <c r="V43" s="1">
        <v>11</v>
      </c>
      <c r="W43" s="1">
        <v>12</v>
      </c>
      <c r="X43" s="1">
        <v>13</v>
      </c>
      <c r="Y43" s="1">
        <v>14</v>
      </c>
      <c r="Z43" s="1">
        <v>15</v>
      </c>
    </row>
    <row r="44" spans="2:26" x14ac:dyDescent="0.4">
      <c r="C44" s="5">
        <v>0</v>
      </c>
      <c r="D44" s="11" t="str">
        <f t="shared" ref="D44:G47" si="20">INDEX($K$55:$Z$55,4*D$43+$C44+1)</f>
        <v>f2</v>
      </c>
      <c r="E44" s="11" t="str">
        <f t="shared" si="20"/>
        <v>7a</v>
      </c>
      <c r="F44" s="11" t="str">
        <f t="shared" si="20"/>
        <v>59</v>
      </c>
      <c r="G44" s="11" t="str">
        <f t="shared" si="20"/>
        <v>73</v>
      </c>
      <c r="H44" s="15" t="s">
        <v>316</v>
      </c>
      <c r="I44" t="s">
        <v>25</v>
      </c>
      <c r="K44" s="17" t="str">
        <f>'키생성과정(Key Scheduling)'!D17</f>
        <v>a0</v>
      </c>
      <c r="L44" s="17" t="str">
        <f>'키생성과정(Key Scheduling)'!D18</f>
        <v>fa</v>
      </c>
      <c r="M44" s="17" t="str">
        <f>'키생성과정(Key Scheduling)'!D19</f>
        <v>fe</v>
      </c>
      <c r="N44" s="17" t="str">
        <f>'키생성과정(Key Scheduling)'!D20</f>
        <v>17</v>
      </c>
      <c r="O44" s="17" t="str">
        <f>'키생성과정(Key Scheduling)'!E17</f>
        <v>88</v>
      </c>
      <c r="P44" s="17" t="str">
        <f>'키생성과정(Key Scheduling)'!E18</f>
        <v>54</v>
      </c>
      <c r="Q44" s="17" t="str">
        <f>'키생성과정(Key Scheduling)'!E19</f>
        <v>2c</v>
      </c>
      <c r="R44" s="17" t="str">
        <f>'키생성과정(Key Scheduling)'!E20</f>
        <v>b1</v>
      </c>
      <c r="S44" s="17" t="str">
        <f>'키생성과정(Key Scheduling)'!F17</f>
        <v>23</v>
      </c>
      <c r="T44" s="17" t="str">
        <f>'키생성과정(Key Scheduling)'!F18</f>
        <v>a3</v>
      </c>
      <c r="U44" s="17" t="str">
        <f>'키생성과정(Key Scheduling)'!F19</f>
        <v>39</v>
      </c>
      <c r="V44" s="17" t="str">
        <f>'키생성과정(Key Scheduling)'!F20</f>
        <v>39</v>
      </c>
      <c r="W44" s="17" t="str">
        <f>'키생성과정(Key Scheduling)'!G17</f>
        <v>2a</v>
      </c>
      <c r="X44" s="17" t="str">
        <f>'키생성과정(Key Scheduling)'!G18</f>
        <v>6c</v>
      </c>
      <c r="Y44" s="17" t="str">
        <f>'키생성과정(Key Scheduling)'!G19</f>
        <v>76</v>
      </c>
      <c r="Z44" s="17" t="str">
        <f>'키생성과정(Key Scheduling)'!G20</f>
        <v>05</v>
      </c>
    </row>
    <row r="45" spans="2:26" x14ac:dyDescent="0.4">
      <c r="C45" s="5">
        <v>1</v>
      </c>
      <c r="D45" s="11" t="str">
        <f t="shared" si="20"/>
        <v>c2</v>
      </c>
      <c r="E45" s="11" t="str">
        <f t="shared" si="20"/>
        <v>96</v>
      </c>
      <c r="F45" s="11" t="str">
        <f t="shared" si="20"/>
        <v>35</v>
      </c>
      <c r="G45" s="11" t="str">
        <f t="shared" si="20"/>
        <v>59</v>
      </c>
      <c r="H45" s="15" t="s">
        <v>317</v>
      </c>
      <c r="I45" t="s">
        <v>26</v>
      </c>
    </row>
    <row r="46" spans="2:26" x14ac:dyDescent="0.4">
      <c r="C46" s="5">
        <v>2</v>
      </c>
      <c r="D46" s="11" t="str">
        <f t="shared" si="20"/>
        <v>95</v>
      </c>
      <c r="E46" s="11" t="str">
        <f t="shared" si="20"/>
        <v>b9</v>
      </c>
      <c r="F46" s="11" t="str">
        <f t="shared" si="20"/>
        <v>80</v>
      </c>
      <c r="G46" s="11" t="str">
        <f t="shared" si="20"/>
        <v>f6</v>
      </c>
      <c r="I46" t="s">
        <v>30</v>
      </c>
      <c r="K46" s="12" t="str">
        <f>K40</f>
        <v>2a</v>
      </c>
      <c r="L46" s="12" t="str">
        <f>L40</f>
        <v>6c</v>
      </c>
      <c r="M46" s="12" t="str">
        <f>M40</f>
        <v>76</v>
      </c>
      <c r="N46" s="12" t="str">
        <f>N40</f>
        <v>05</v>
      </c>
    </row>
    <row r="47" spans="2:26" x14ac:dyDescent="0.4">
      <c r="C47" s="1">
        <v>3</v>
      </c>
      <c r="D47" s="11" t="str">
        <f t="shared" si="20"/>
        <v>f2</v>
      </c>
      <c r="E47" s="11" t="str">
        <f t="shared" si="20"/>
        <v>43</v>
      </c>
      <c r="F47" s="11" t="str">
        <f t="shared" si="20"/>
        <v>7a</v>
      </c>
      <c r="G47" s="11" t="str">
        <f t="shared" si="20"/>
        <v>7f</v>
      </c>
      <c r="I47" t="s">
        <v>31</v>
      </c>
      <c r="K47" s="12" t="str">
        <f>'키생성과정(Key Scheduling)'!D25</f>
        <v>6c</v>
      </c>
      <c r="L47" s="12" t="str">
        <f>'키생성과정(Key Scheduling)'!D26</f>
        <v>76</v>
      </c>
      <c r="M47" s="12" t="str">
        <f>'키생성과정(Key Scheduling)'!D27</f>
        <v>05</v>
      </c>
      <c r="N47" s="12" t="str">
        <f>'키생성과정(Key Scheduling)'!D28</f>
        <v>2a</v>
      </c>
    </row>
    <row r="48" spans="2:26" x14ac:dyDescent="0.4">
      <c r="C48" s="9"/>
      <c r="D48" s="10"/>
      <c r="E48" s="10"/>
      <c r="F48" s="10"/>
      <c r="G48" s="10"/>
      <c r="I48" t="s">
        <v>32</v>
      </c>
      <c r="K48" s="12" t="str">
        <f>'키생성과정(Key Scheduling)'!H25</f>
        <v>50</v>
      </c>
      <c r="L48" s="12" t="str">
        <f>'키생성과정(Key Scheduling)'!H26</f>
        <v>38</v>
      </c>
      <c r="M48" s="12" t="str">
        <f>'키생성과정(Key Scheduling)'!H27</f>
        <v>6b</v>
      </c>
      <c r="N48" s="12" t="str">
        <f>'키생성과정(Key Scheduling)'!H28</f>
        <v>e5</v>
      </c>
    </row>
    <row r="49" spans="2:26" x14ac:dyDescent="0.4">
      <c r="C49" s="9"/>
      <c r="D49" s="10"/>
      <c r="E49" s="10"/>
      <c r="F49" s="10"/>
      <c r="G49" s="10"/>
      <c r="I49" t="s">
        <v>33</v>
      </c>
      <c r="K49" s="12" t="str">
        <f>'키생성과정(Key Scheduling)'!Q10</f>
        <v>02</v>
      </c>
      <c r="L49" s="12" t="str">
        <f>'키생성과정(Key Scheduling)'!Q11</f>
        <v>00</v>
      </c>
      <c r="M49" s="12" t="str">
        <f>'키생성과정(Key Scheduling)'!Q12</f>
        <v>00</v>
      </c>
      <c r="N49" s="12" t="str">
        <f>'키생성과정(Key Scheduling)'!Q13</f>
        <v>00</v>
      </c>
    </row>
    <row r="50" spans="2:26" x14ac:dyDescent="0.4">
      <c r="C50" s="9"/>
      <c r="D50" s="10"/>
      <c r="E50" s="10"/>
      <c r="F50" s="10"/>
      <c r="G50" s="10"/>
      <c r="I50" t="s">
        <v>34</v>
      </c>
      <c r="K50" s="12" t="str">
        <f>K44</f>
        <v>a0</v>
      </c>
      <c r="L50" s="12" t="str">
        <f>L44</f>
        <v>fa</v>
      </c>
      <c r="M50" s="12" t="str">
        <f>M44</f>
        <v>fe</v>
      </c>
      <c r="N50" s="12" t="str">
        <f>N44</f>
        <v>17</v>
      </c>
    </row>
    <row r="51" spans="2:26" x14ac:dyDescent="0.4">
      <c r="C51" s="9"/>
      <c r="D51" s="10"/>
      <c r="E51" s="10"/>
      <c r="F51" s="10"/>
      <c r="G51" s="10"/>
      <c r="I51" t="s">
        <v>35</v>
      </c>
      <c r="K51" s="12" t="str">
        <f>'키생성과정(Key Scheduling)'!O25</f>
        <v>f2</v>
      </c>
      <c r="L51" s="12" t="str">
        <f>'키생성과정(Key Scheduling)'!O26</f>
        <v>c2</v>
      </c>
      <c r="M51" s="12" t="str">
        <f>'키생성과정(Key Scheduling)'!O27</f>
        <v>95</v>
      </c>
      <c r="N51" s="12" t="str">
        <f>'키생성과정(Key Scheduling)'!O28</f>
        <v>f2</v>
      </c>
    </row>
    <row r="52" spans="2:26" x14ac:dyDescent="0.4">
      <c r="C52" s="9"/>
      <c r="D52" s="10"/>
      <c r="E52" s="10"/>
      <c r="F52" s="10"/>
      <c r="G52" s="10"/>
      <c r="I52" t="s">
        <v>27</v>
      </c>
      <c r="K52" s="12" t="str">
        <f>'키생성과정(Key Scheduling)'!P25</f>
        <v>7a</v>
      </c>
      <c r="L52" s="12" t="str">
        <f>'키생성과정(Key Scheduling)'!P26</f>
        <v>96</v>
      </c>
      <c r="M52" s="12" t="str">
        <f>'키생성과정(Key Scheduling)'!P27</f>
        <v>b9</v>
      </c>
      <c r="N52" s="12" t="str">
        <f>'키생성과정(Key Scheduling)'!P28</f>
        <v>43</v>
      </c>
    </row>
    <row r="53" spans="2:26" x14ac:dyDescent="0.4">
      <c r="C53" s="9"/>
      <c r="D53" s="10"/>
      <c r="E53" s="10"/>
      <c r="F53" s="10"/>
      <c r="G53" s="10"/>
      <c r="I53" t="s">
        <v>28</v>
      </c>
      <c r="K53" s="12" t="str">
        <f>'키생성과정(Key Scheduling)'!Q25</f>
        <v>59</v>
      </c>
      <c r="L53" s="12" t="str">
        <f>'키생성과정(Key Scheduling)'!Q26</f>
        <v>35</v>
      </c>
      <c r="M53" s="12" t="str">
        <f>'키생성과정(Key Scheduling)'!Q27</f>
        <v>80</v>
      </c>
      <c r="N53" s="12" t="str">
        <f>'키생성과정(Key Scheduling)'!Q28</f>
        <v>7a</v>
      </c>
    </row>
    <row r="54" spans="2:26" x14ac:dyDescent="0.4">
      <c r="C54" s="9"/>
      <c r="D54" s="10"/>
      <c r="E54" s="10"/>
      <c r="F54" s="10"/>
      <c r="G54" s="10"/>
      <c r="I54" t="s">
        <v>29</v>
      </c>
      <c r="K54" s="27" t="str">
        <f>'키생성과정(Key Scheduling)'!R25</f>
        <v>73</v>
      </c>
      <c r="L54" s="27" t="str">
        <f>'키생성과정(Key Scheduling)'!R26</f>
        <v>59</v>
      </c>
      <c r="M54" s="27" t="str">
        <f>'키생성과정(Key Scheduling)'!R27</f>
        <v>f6</v>
      </c>
      <c r="N54" s="27" t="str">
        <f>'키생성과정(Key Scheduling)'!R28</f>
        <v>7f</v>
      </c>
    </row>
    <row r="55" spans="2:26" x14ac:dyDescent="0.4">
      <c r="C55" s="9"/>
      <c r="D55" s="10"/>
      <c r="E55" s="10"/>
      <c r="F55" s="10"/>
      <c r="G55" s="10"/>
      <c r="K55" s="1" t="str">
        <f>'키생성과정(Key Scheduling)'!O25</f>
        <v>f2</v>
      </c>
      <c r="L55" s="1" t="str">
        <f>'키생성과정(Key Scheduling)'!O26</f>
        <v>c2</v>
      </c>
      <c r="M55" s="1" t="str">
        <f>'키생성과정(Key Scheduling)'!O27</f>
        <v>95</v>
      </c>
      <c r="N55" s="1" t="str">
        <f>'키생성과정(Key Scheduling)'!O28</f>
        <v>f2</v>
      </c>
      <c r="O55" s="1" t="str">
        <f>'키생성과정(Key Scheduling)'!P25</f>
        <v>7a</v>
      </c>
      <c r="P55" s="1" t="str">
        <f>'키생성과정(Key Scheduling)'!P26</f>
        <v>96</v>
      </c>
      <c r="Q55" s="1" t="str">
        <f>'키생성과정(Key Scheduling)'!P27</f>
        <v>b9</v>
      </c>
      <c r="R55" s="1" t="str">
        <f>'키생성과정(Key Scheduling)'!P28</f>
        <v>43</v>
      </c>
      <c r="S55" s="1" t="str">
        <f>'키생성과정(Key Scheduling)'!Q25</f>
        <v>59</v>
      </c>
      <c r="T55" s="1" t="str">
        <f>'키생성과정(Key Scheduling)'!Q26</f>
        <v>35</v>
      </c>
      <c r="U55" s="1" t="str">
        <f>'키생성과정(Key Scheduling)'!Q27</f>
        <v>80</v>
      </c>
      <c r="V55" s="1" t="str">
        <f>'키생성과정(Key Scheduling)'!Q28</f>
        <v>7a</v>
      </c>
      <c r="W55" s="1" t="str">
        <f>'키생성과정(Key Scheduling)'!R25</f>
        <v>73</v>
      </c>
      <c r="X55" s="1" t="str">
        <f>'키생성과정(Key Scheduling)'!R26</f>
        <v>59</v>
      </c>
      <c r="Y55" s="1" t="str">
        <f>'키생성과정(Key Scheduling)'!R27</f>
        <v>f6</v>
      </c>
      <c r="Z55" s="1" t="str">
        <f>'키생성과정(Key Scheduling)'!R28</f>
        <v>7f</v>
      </c>
    </row>
    <row r="56" spans="2:26" ht="21" x14ac:dyDescent="0.4">
      <c r="B56" s="7" t="s">
        <v>15</v>
      </c>
    </row>
    <row r="57" spans="2:26" x14ac:dyDescent="0.4">
      <c r="C57" s="5"/>
      <c r="D57" s="1">
        <v>0</v>
      </c>
      <c r="E57" s="1">
        <v>1</v>
      </c>
      <c r="F57" s="1">
        <v>2</v>
      </c>
      <c r="G57" s="1">
        <v>3</v>
      </c>
      <c r="I57" t="s">
        <v>7</v>
      </c>
      <c r="K57" s="1">
        <v>0</v>
      </c>
      <c r="L57" s="1">
        <v>1</v>
      </c>
      <c r="M57" s="1">
        <v>2</v>
      </c>
      <c r="N57" s="1">
        <v>3</v>
      </c>
      <c r="O57" s="1">
        <v>4</v>
      </c>
      <c r="P57" s="1">
        <v>5</v>
      </c>
      <c r="Q57" s="1">
        <v>6</v>
      </c>
      <c r="R57" s="1">
        <v>7</v>
      </c>
      <c r="S57" s="1">
        <v>8</v>
      </c>
      <c r="T57" s="1">
        <v>9</v>
      </c>
      <c r="U57" s="1">
        <v>10</v>
      </c>
      <c r="V57" s="1">
        <v>11</v>
      </c>
      <c r="W57" s="1">
        <v>12</v>
      </c>
      <c r="X57" s="1">
        <v>13</v>
      </c>
      <c r="Y57" s="1">
        <v>14</v>
      </c>
      <c r="Z57" s="1">
        <v>15</v>
      </c>
    </row>
    <row r="58" spans="2:26" x14ac:dyDescent="0.4">
      <c r="C58" s="5">
        <v>0</v>
      </c>
      <c r="D58" s="11" t="str">
        <f ca="1">INDEX($K$60:$Z$60,4*D$57+$C58+1)</f>
        <v>19</v>
      </c>
      <c r="E58" s="11" t="str">
        <f t="shared" ref="D58:G61" ca="1" si="21">INDEX($K$60:$Z$60,4*E$57+$C58+1)</f>
        <v>a0</v>
      </c>
      <c r="F58" s="11" t="str">
        <f t="shared" ca="1" si="21"/>
        <v>9a</v>
      </c>
      <c r="G58" s="11" t="str">
        <f t="shared" ca="1" si="21"/>
        <v>e9</v>
      </c>
      <c r="H58" s="15" t="s">
        <v>316</v>
      </c>
      <c r="I58" t="s">
        <v>18</v>
      </c>
      <c r="K58" s="12" t="str">
        <f>MID($C20,2*K57+1,2)</f>
        <v>32</v>
      </c>
      <c r="L58" s="12" t="str">
        <f t="shared" ref="L58:Z58" si="22">MID($C20,2*L57+1,2)</f>
        <v>43</v>
      </c>
      <c r="M58" s="12" t="str">
        <f t="shared" si="22"/>
        <v>f6</v>
      </c>
      <c r="N58" s="12" t="str">
        <f t="shared" si="22"/>
        <v>a8</v>
      </c>
      <c r="O58" s="12" t="str">
        <f t="shared" si="22"/>
        <v>88</v>
      </c>
      <c r="P58" s="12" t="str">
        <f t="shared" si="22"/>
        <v>5a</v>
      </c>
      <c r="Q58" s="12" t="str">
        <f t="shared" si="22"/>
        <v>30</v>
      </c>
      <c r="R58" s="12" t="str">
        <f t="shared" si="22"/>
        <v>8d</v>
      </c>
      <c r="S58" s="12" t="str">
        <f t="shared" si="22"/>
        <v>31</v>
      </c>
      <c r="T58" s="12" t="str">
        <f t="shared" si="22"/>
        <v>31</v>
      </c>
      <c r="U58" s="12" t="str">
        <f t="shared" si="22"/>
        <v>98</v>
      </c>
      <c r="V58" s="12" t="str">
        <f t="shared" si="22"/>
        <v>a2</v>
      </c>
      <c r="W58" s="12" t="str">
        <f t="shared" si="22"/>
        <v>e0</v>
      </c>
      <c r="X58" s="12" t="str">
        <f t="shared" si="22"/>
        <v>37</v>
      </c>
      <c r="Y58" s="12" t="str">
        <f t="shared" si="22"/>
        <v>07</v>
      </c>
      <c r="Z58" s="12" t="str">
        <f t="shared" si="22"/>
        <v>34</v>
      </c>
    </row>
    <row r="59" spans="2:26" x14ac:dyDescent="0.4">
      <c r="C59" s="5">
        <v>1</v>
      </c>
      <c r="D59" s="11" t="str">
        <f t="shared" ca="1" si="21"/>
        <v>3d</v>
      </c>
      <c r="E59" s="11" t="str">
        <f t="shared" ca="1" si="21"/>
        <v>f4</v>
      </c>
      <c r="F59" s="11" t="str">
        <f t="shared" ca="1" si="21"/>
        <v>c6</v>
      </c>
      <c r="G59" s="11" t="str">
        <f t="shared" ca="1" si="21"/>
        <v>f8</v>
      </c>
      <c r="H59" s="15" t="s">
        <v>317</v>
      </c>
      <c r="I59" t="s">
        <v>19</v>
      </c>
      <c r="K59" s="12" t="str">
        <f>D12</f>
        <v>2b</v>
      </c>
      <c r="L59" s="12" t="str">
        <f>D13</f>
        <v>7e</v>
      </c>
      <c r="M59" s="12" t="str">
        <f>D14</f>
        <v>15</v>
      </c>
      <c r="N59" s="12" t="str">
        <f>D15</f>
        <v>16</v>
      </c>
      <c r="O59" s="12" t="str">
        <f>E12</f>
        <v>28</v>
      </c>
      <c r="P59" s="12" t="str">
        <f>E13</f>
        <v>ae</v>
      </c>
      <c r="Q59" s="12" t="str">
        <f>E14</f>
        <v>d2</v>
      </c>
      <c r="R59" s="12" t="str">
        <f>E15</f>
        <v>a6</v>
      </c>
      <c r="S59" s="12" t="str">
        <f>F12</f>
        <v>ab</v>
      </c>
      <c r="T59" s="12" t="str">
        <f>F13</f>
        <v>f7</v>
      </c>
      <c r="U59" s="12" t="str">
        <f>F14</f>
        <v>15</v>
      </c>
      <c r="V59" s="12" t="str">
        <f>F15</f>
        <v>88</v>
      </c>
      <c r="W59" s="12" t="str">
        <f>G12</f>
        <v>09</v>
      </c>
      <c r="X59" s="12" t="str">
        <f>G13</f>
        <v>cf</v>
      </c>
      <c r="Y59" s="12" t="str">
        <f>G14</f>
        <v>4f</v>
      </c>
      <c r="Z59" s="12" t="str">
        <f>G15</f>
        <v>3c</v>
      </c>
    </row>
    <row r="60" spans="2:26" x14ac:dyDescent="0.4">
      <c r="C60" s="5">
        <v>2</v>
      </c>
      <c r="D60" s="11" t="str">
        <f t="shared" ca="1" si="21"/>
        <v>e3</v>
      </c>
      <c r="E60" s="11" t="str">
        <f t="shared" ca="1" si="21"/>
        <v>e2</v>
      </c>
      <c r="F60" s="11" t="str">
        <f t="shared" ca="1" si="21"/>
        <v>8d</v>
      </c>
      <c r="G60" s="11" t="str">
        <f t="shared" ca="1" si="21"/>
        <v>48</v>
      </c>
      <c r="I60" t="s">
        <v>22</v>
      </c>
      <c r="K60" s="12" t="str">
        <f ca="1">'암호화과정(Ciphering)'!P10</f>
        <v>19</v>
      </c>
      <c r="L60" s="12" t="str">
        <f ca="1">'암호화과정(Ciphering)'!P11</f>
        <v>3d</v>
      </c>
      <c r="M60" s="12" t="str">
        <f ca="1">'암호화과정(Ciphering)'!P12</f>
        <v>e3</v>
      </c>
      <c r="N60" s="12" t="str">
        <f ca="1">'암호화과정(Ciphering)'!P13</f>
        <v>be</v>
      </c>
      <c r="O60" s="12" t="str">
        <f ca="1">'암호화과정(Ciphering)'!Q10</f>
        <v>a0</v>
      </c>
      <c r="P60" s="12" t="str">
        <f ca="1">'암호화과정(Ciphering)'!Q11</f>
        <v>f4</v>
      </c>
      <c r="Q60" s="12" t="str">
        <f ca="1">'암호화과정(Ciphering)'!Q12</f>
        <v>e2</v>
      </c>
      <c r="R60" s="12" t="str">
        <f ca="1">'암호화과정(Ciphering)'!Q13</f>
        <v>2b</v>
      </c>
      <c r="S60" s="12" t="str">
        <f ca="1">'암호화과정(Ciphering)'!R10</f>
        <v>9a</v>
      </c>
      <c r="T60" s="12" t="str">
        <f ca="1">'암호화과정(Ciphering)'!R11</f>
        <v>c6</v>
      </c>
      <c r="U60" s="12" t="str">
        <f ca="1">'암호화과정(Ciphering)'!R12</f>
        <v>8d</v>
      </c>
      <c r="V60" s="12" t="str">
        <f ca="1">'암호화과정(Ciphering)'!R13</f>
        <v>2a</v>
      </c>
      <c r="W60" s="12" t="str">
        <f ca="1">'암호화과정(Ciphering)'!S10</f>
        <v>e9</v>
      </c>
      <c r="X60" s="12" t="str">
        <f ca="1">'암호화과정(Ciphering)'!S11</f>
        <v>f8</v>
      </c>
      <c r="Y60" s="12" t="str">
        <f ca="1">'암호화과정(Ciphering)'!S12</f>
        <v>48</v>
      </c>
      <c r="Z60" s="12" t="str">
        <f ca="1">'암호화과정(Ciphering)'!S13</f>
        <v>08</v>
      </c>
    </row>
    <row r="61" spans="2:26" x14ac:dyDescent="0.4">
      <c r="C61" s="1">
        <v>3</v>
      </c>
      <c r="D61" s="11" t="str">
        <f ca="1">INDEX($K$60:$Z$60,4*D$57+$C61+1)</f>
        <v>be</v>
      </c>
      <c r="E61" s="11" t="str">
        <f t="shared" ca="1" si="21"/>
        <v>2b</v>
      </c>
      <c r="F61" s="11" t="str">
        <f t="shared" ca="1" si="21"/>
        <v>2a</v>
      </c>
      <c r="G61" s="11" t="str">
        <f t="shared" ca="1" si="21"/>
        <v>08</v>
      </c>
    </row>
    <row r="63" spans="2:26" ht="21" x14ac:dyDescent="0.4">
      <c r="B63" s="7" t="s">
        <v>16</v>
      </c>
    </row>
    <row r="64" spans="2:26" x14ac:dyDescent="0.4">
      <c r="C64" s="5"/>
      <c r="D64" s="1">
        <v>0</v>
      </c>
      <c r="E64" s="1">
        <v>1</v>
      </c>
      <c r="F64" s="1">
        <v>2</v>
      </c>
      <c r="G64" s="1">
        <v>3</v>
      </c>
      <c r="I64" t="s">
        <v>7</v>
      </c>
      <c r="K64" s="1">
        <v>0</v>
      </c>
      <c r="L64" s="1">
        <v>1</v>
      </c>
      <c r="M64" s="1">
        <v>2</v>
      </c>
      <c r="N64" s="1">
        <v>3</v>
      </c>
      <c r="O64" s="1">
        <v>4</v>
      </c>
      <c r="P64" s="1">
        <v>5</v>
      </c>
      <c r="Q64" s="1">
        <v>6</v>
      </c>
      <c r="R64" s="1">
        <v>7</v>
      </c>
      <c r="S64" s="1">
        <v>8</v>
      </c>
      <c r="T64" s="1">
        <v>9</v>
      </c>
      <c r="U64" s="1">
        <v>10</v>
      </c>
      <c r="V64" s="1">
        <v>11</v>
      </c>
      <c r="W64" s="1">
        <v>12</v>
      </c>
      <c r="X64" s="1">
        <v>13</v>
      </c>
      <c r="Y64" s="1">
        <v>14</v>
      </c>
      <c r="Z64" s="1">
        <v>15</v>
      </c>
    </row>
    <row r="65" spans="2:26" x14ac:dyDescent="0.4">
      <c r="C65" s="5">
        <v>0</v>
      </c>
      <c r="D65" s="11" t="str">
        <f t="shared" ref="D65:G68" ca="1" si="23">INDEX($K$69:$Z$69,4*D$64+$C65+1)</f>
        <v>a4</v>
      </c>
      <c r="E65" s="11" t="str">
        <f t="shared" ca="1" si="23"/>
        <v>68</v>
      </c>
      <c r="F65" s="11" t="str">
        <f t="shared" ca="1" si="23"/>
        <v>6b</v>
      </c>
      <c r="G65" s="11" t="str">
        <f t="shared" ca="1" si="23"/>
        <v>02</v>
      </c>
      <c r="H65" s="15" t="s">
        <v>316</v>
      </c>
      <c r="I65" t="s">
        <v>20</v>
      </c>
      <c r="K65" s="12" t="str">
        <f ca="1">'암호화과정(Ciphering)'!P10</f>
        <v>19</v>
      </c>
      <c r="L65" s="12" t="str">
        <f ca="1">'암호화과정(Ciphering)'!P11</f>
        <v>3d</v>
      </c>
      <c r="M65" s="12" t="str">
        <f ca="1">'암호화과정(Ciphering)'!P12</f>
        <v>e3</v>
      </c>
      <c r="N65" s="12" t="str">
        <f ca="1">'암호화과정(Ciphering)'!P13</f>
        <v>be</v>
      </c>
      <c r="O65" s="12" t="str">
        <f ca="1">'암호화과정(Ciphering)'!Q10</f>
        <v>a0</v>
      </c>
      <c r="P65" s="12" t="str">
        <f ca="1">'암호화과정(Ciphering)'!Q11</f>
        <v>f4</v>
      </c>
      <c r="Q65" s="12" t="str">
        <f ca="1">'암호화과정(Ciphering)'!Q12</f>
        <v>e2</v>
      </c>
      <c r="R65" s="12" t="str">
        <f ca="1">'암호화과정(Ciphering)'!Q13</f>
        <v>2b</v>
      </c>
      <c r="S65" s="12" t="str">
        <f ca="1">'암호화과정(Ciphering)'!R10</f>
        <v>9a</v>
      </c>
      <c r="T65" s="12" t="str">
        <f ca="1">'암호화과정(Ciphering)'!R11</f>
        <v>c6</v>
      </c>
      <c r="U65" s="12" t="str">
        <f ca="1">'암호화과정(Ciphering)'!R12</f>
        <v>8d</v>
      </c>
      <c r="V65" s="12" t="str">
        <f ca="1">'암호화과정(Ciphering)'!R13</f>
        <v>2a</v>
      </c>
      <c r="W65" s="12" t="str">
        <f ca="1">'암호화과정(Ciphering)'!S10</f>
        <v>e9</v>
      </c>
      <c r="X65" s="12" t="str">
        <f ca="1">'암호화과정(Ciphering)'!S11</f>
        <v>f8</v>
      </c>
      <c r="Y65" s="12" t="str">
        <f ca="1">'암호화과정(Ciphering)'!S12</f>
        <v>48</v>
      </c>
      <c r="Z65" s="12" t="str">
        <f ca="1">'암호화과정(Ciphering)'!S13</f>
        <v>08</v>
      </c>
    </row>
    <row r="66" spans="2:26" x14ac:dyDescent="0.4">
      <c r="C66" s="5">
        <v>1</v>
      </c>
      <c r="D66" s="11" t="str">
        <f t="shared" ca="1" si="23"/>
        <v>9c</v>
      </c>
      <c r="E66" s="11" t="str">
        <f t="shared" ca="1" si="23"/>
        <v>9f</v>
      </c>
      <c r="F66" s="11" t="str">
        <f t="shared" ca="1" si="23"/>
        <v>5b</v>
      </c>
      <c r="G66" s="11" t="str">
        <f t="shared" ca="1" si="23"/>
        <v>6a</v>
      </c>
      <c r="H66" s="15" t="s">
        <v>317</v>
      </c>
      <c r="I66" t="s">
        <v>21</v>
      </c>
      <c r="K66" s="12" t="str">
        <f ca="1">'암호화과정(Ciphering)'!D18</f>
        <v>d4</v>
      </c>
      <c r="L66" s="12" t="str">
        <f ca="1">'암호화과정(Ciphering)'!D19</f>
        <v>27</v>
      </c>
      <c r="M66" s="12" t="str">
        <f ca="1">'암호화과정(Ciphering)'!D20</f>
        <v>11</v>
      </c>
      <c r="N66" s="12" t="str">
        <f ca="1">'암호화과정(Ciphering)'!D21</f>
        <v>ae</v>
      </c>
      <c r="O66" s="12" t="str">
        <f ca="1">'암호화과정(Ciphering)'!E18</f>
        <v>e0</v>
      </c>
      <c r="P66" s="12" t="str">
        <f ca="1">'암호화과정(Ciphering)'!E19</f>
        <v>bf</v>
      </c>
      <c r="Q66" s="12" t="str">
        <f ca="1">'암호화과정(Ciphering)'!E20</f>
        <v>98</v>
      </c>
      <c r="R66" s="12" t="str">
        <f ca="1">'암호화과정(Ciphering)'!E21</f>
        <v>f1</v>
      </c>
      <c r="S66" s="12" t="str">
        <f ca="1">'암호화과정(Ciphering)'!F18</f>
        <v>b8</v>
      </c>
      <c r="T66" s="12" t="str">
        <f ca="1">'암호화과정(Ciphering)'!F19</f>
        <v>b4</v>
      </c>
      <c r="U66" s="12" t="str">
        <f ca="1">'암호화과정(Ciphering)'!F20</f>
        <v>5d</v>
      </c>
      <c r="V66" s="12" t="str">
        <f ca="1">'암호화과정(Ciphering)'!F21</f>
        <v>e5</v>
      </c>
      <c r="W66" s="12" t="str">
        <f ca="1">'암호화과정(Ciphering)'!G18</f>
        <v>1e</v>
      </c>
      <c r="X66" s="12" t="str">
        <f ca="1">'암호화과정(Ciphering)'!G19</f>
        <v>41</v>
      </c>
      <c r="Y66" s="12" t="str">
        <f ca="1">'암호화과정(Ciphering)'!G20</f>
        <v>52</v>
      </c>
      <c r="Z66" s="12" t="str">
        <f ca="1">'암호화과정(Ciphering)'!G21</f>
        <v>30</v>
      </c>
    </row>
    <row r="67" spans="2:26" x14ac:dyDescent="0.4">
      <c r="C67" s="5">
        <v>2</v>
      </c>
      <c r="D67" s="11" t="str">
        <f t="shared" ca="1" si="23"/>
        <v>7f</v>
      </c>
      <c r="E67" s="11" t="str">
        <f t="shared" ca="1" si="23"/>
        <v>35</v>
      </c>
      <c r="F67" s="11" t="str">
        <f t="shared" ca="1" si="23"/>
        <v>ea</v>
      </c>
      <c r="G67" s="11" t="str">
        <f t="shared" ca="1" si="23"/>
        <v>50</v>
      </c>
      <c r="I67" t="s">
        <v>23</v>
      </c>
      <c r="K67" s="12" t="str">
        <f ca="1">'암호화과정(Ciphering)'!J18</f>
        <v>d4</v>
      </c>
      <c r="L67" s="12" t="str">
        <f ca="1">'암호화과정(Ciphering)'!J19</f>
        <v>bf</v>
      </c>
      <c r="M67" s="12" t="str">
        <f ca="1">'암호화과정(Ciphering)'!J20</f>
        <v>5d</v>
      </c>
      <c r="N67" s="12" t="str">
        <f ca="1">'암호화과정(Ciphering)'!J21</f>
        <v>30</v>
      </c>
      <c r="O67" s="12" t="str">
        <f ca="1">'암호화과정(Ciphering)'!K18</f>
        <v>e0</v>
      </c>
      <c r="P67" s="12" t="str">
        <f ca="1">'암호화과정(Ciphering)'!K19</f>
        <v>b4</v>
      </c>
      <c r="Q67" s="12" t="str">
        <f ca="1">'암호화과정(Ciphering)'!K20</f>
        <v>52</v>
      </c>
      <c r="R67" s="12" t="str">
        <f ca="1">'암호화과정(Ciphering)'!K21</f>
        <v>ae</v>
      </c>
      <c r="S67" s="12" t="str">
        <f ca="1">'암호화과정(Ciphering)'!L18</f>
        <v>b8</v>
      </c>
      <c r="T67" s="12" t="str">
        <f ca="1">'암호화과정(Ciphering)'!L19</f>
        <v>41</v>
      </c>
      <c r="U67" s="12" t="str">
        <f ca="1">'암호화과정(Ciphering)'!L20</f>
        <v>11</v>
      </c>
      <c r="V67" s="12" t="str">
        <f ca="1">'암호화과정(Ciphering)'!L21</f>
        <v>f1</v>
      </c>
      <c r="W67" s="12" t="str">
        <f ca="1">'암호화과정(Ciphering)'!M18</f>
        <v>1e</v>
      </c>
      <c r="X67" s="12" t="str">
        <f ca="1">'암호화과정(Ciphering)'!M19</f>
        <v>27</v>
      </c>
      <c r="Y67" s="12" t="str">
        <f ca="1">'암호화과정(Ciphering)'!M20</f>
        <v>98</v>
      </c>
      <c r="Z67" s="12" t="str">
        <f ca="1">'암호화과정(Ciphering)'!M21</f>
        <v>e5</v>
      </c>
    </row>
    <row r="68" spans="2:26" x14ac:dyDescent="0.4">
      <c r="C68" s="1">
        <v>3</v>
      </c>
      <c r="D68" s="11" t="str">
        <f t="shared" ca="1" si="23"/>
        <v>f2</v>
      </c>
      <c r="E68" s="11" t="str">
        <f t="shared" ca="1" si="23"/>
        <v>2b</v>
      </c>
      <c r="F68" s="11" t="str">
        <f t="shared" ca="1" si="23"/>
        <v>43</v>
      </c>
      <c r="G68" s="11" t="str">
        <f t="shared" ca="1" si="23"/>
        <v>49</v>
      </c>
      <c r="I68" t="s">
        <v>24</v>
      </c>
      <c r="K68" s="12" t="str">
        <f ca="1">'암호화과정(Ciphering)'!P18</f>
        <v>04</v>
      </c>
      <c r="L68" s="12" t="str">
        <f ca="1">'암호화과정(Ciphering)'!P19</f>
        <v>66</v>
      </c>
      <c r="M68" s="12" t="str">
        <f ca="1">'암호화과정(Ciphering)'!P20</f>
        <v>81</v>
      </c>
      <c r="N68" s="12" t="str">
        <f ca="1">'암호화과정(Ciphering)'!P21</f>
        <v>e5</v>
      </c>
      <c r="O68" s="12" t="str">
        <f ca="1">'암호화과정(Ciphering)'!Q18</f>
        <v>e0</v>
      </c>
      <c r="P68" s="12" t="str">
        <f ca="1">'암호화과정(Ciphering)'!Q19</f>
        <v>cb</v>
      </c>
      <c r="Q68" s="12" t="str">
        <f ca="1">'암호화과정(Ciphering)'!Q20</f>
        <v>19</v>
      </c>
      <c r="R68" s="12" t="str">
        <f ca="1">'암호화과정(Ciphering)'!Q21</f>
        <v>9a</v>
      </c>
      <c r="S68" s="12" t="str">
        <f ca="1">'암호화과정(Ciphering)'!R18</f>
        <v>48</v>
      </c>
      <c r="T68" s="12" t="str">
        <f ca="1">'암호화과정(Ciphering)'!R19</f>
        <v>f8</v>
      </c>
      <c r="U68" s="12" t="str">
        <f ca="1">'암호화과정(Ciphering)'!R20</f>
        <v>d3</v>
      </c>
      <c r="V68" s="12" t="str">
        <f ca="1">'암호화과정(Ciphering)'!R21</f>
        <v>7a</v>
      </c>
      <c r="W68" s="12" t="str">
        <f ca="1">'암호화과정(Ciphering)'!S18</f>
        <v>28</v>
      </c>
      <c r="X68" s="12" t="str">
        <f ca="1">'암호화과정(Ciphering)'!S19</f>
        <v>06</v>
      </c>
      <c r="Y68" s="12" t="str">
        <f ca="1">'암호화과정(Ciphering)'!S20</f>
        <v>26</v>
      </c>
      <c r="Z68" s="12" t="str">
        <f ca="1">'암호화과정(Ciphering)'!S21</f>
        <v>4c</v>
      </c>
    </row>
    <row r="69" spans="2:26" x14ac:dyDescent="0.4">
      <c r="C69" s="9"/>
      <c r="D69" s="13"/>
      <c r="E69" s="13"/>
      <c r="F69" s="13"/>
      <c r="G69" s="13"/>
      <c r="I69" t="s">
        <v>22</v>
      </c>
      <c r="K69" s="12" t="str">
        <f ca="1">'암호화과정(Ciphering)'!J25</f>
        <v>a4</v>
      </c>
      <c r="L69" s="12" t="str">
        <f ca="1">'암호화과정(Ciphering)'!J26</f>
        <v>9c</v>
      </c>
      <c r="M69" s="12" t="str">
        <f ca="1">'암호화과정(Ciphering)'!J27</f>
        <v>7f</v>
      </c>
      <c r="N69" s="12" t="str">
        <f ca="1">'암호화과정(Ciphering)'!J28</f>
        <v>f2</v>
      </c>
      <c r="O69" s="12" t="str">
        <f ca="1">'암호화과정(Ciphering)'!K25</f>
        <v>68</v>
      </c>
      <c r="P69" s="12" t="str">
        <f ca="1">'암호화과정(Ciphering)'!K26</f>
        <v>9f</v>
      </c>
      <c r="Q69" s="12" t="str">
        <f ca="1">'암호화과정(Ciphering)'!K27</f>
        <v>35</v>
      </c>
      <c r="R69" s="12" t="str">
        <f ca="1">'암호화과정(Ciphering)'!K28</f>
        <v>2b</v>
      </c>
      <c r="S69" s="12" t="str">
        <f ca="1">'암호화과정(Ciphering)'!L25</f>
        <v>6b</v>
      </c>
      <c r="T69" s="12" t="str">
        <f ca="1">'암호화과정(Ciphering)'!L26</f>
        <v>5b</v>
      </c>
      <c r="U69" s="12" t="str">
        <f ca="1">'암호화과정(Ciphering)'!L27</f>
        <v>ea</v>
      </c>
      <c r="V69" s="12" t="str">
        <f ca="1">'암호화과정(Ciphering)'!L28</f>
        <v>43</v>
      </c>
      <c r="W69" s="12" t="str">
        <f ca="1">'암호화과정(Ciphering)'!M25</f>
        <v>02</v>
      </c>
      <c r="X69" s="12" t="str">
        <f ca="1">'암호화과정(Ciphering)'!M26</f>
        <v>6a</v>
      </c>
      <c r="Y69" s="12" t="str">
        <f ca="1">'암호화과정(Ciphering)'!M27</f>
        <v>50</v>
      </c>
      <c r="Z69" s="12" t="str">
        <f ca="1">'암호화과정(Ciphering)'!M28</f>
        <v>49</v>
      </c>
    </row>
    <row r="71" spans="2:26" ht="21" x14ac:dyDescent="0.4">
      <c r="B71" s="7" t="s">
        <v>17</v>
      </c>
    </row>
    <row r="72" spans="2:26" x14ac:dyDescent="0.4">
      <c r="C72" s="5"/>
      <c r="D72" s="1">
        <v>0</v>
      </c>
      <c r="E72" s="1">
        <v>1</v>
      </c>
      <c r="F72" s="1">
        <v>2</v>
      </c>
      <c r="G72" s="1">
        <v>3</v>
      </c>
      <c r="I72" t="s">
        <v>7</v>
      </c>
      <c r="K72" s="1">
        <v>0</v>
      </c>
      <c r="L72" s="1">
        <v>1</v>
      </c>
      <c r="M72" s="1">
        <v>2</v>
      </c>
      <c r="N72" s="1">
        <v>3</v>
      </c>
      <c r="O72" s="1">
        <v>4</v>
      </c>
      <c r="P72" s="1">
        <v>5</v>
      </c>
      <c r="Q72" s="1">
        <v>6</v>
      </c>
      <c r="R72" s="1">
        <v>7</v>
      </c>
      <c r="S72" s="1">
        <v>8</v>
      </c>
      <c r="T72" s="1">
        <v>9</v>
      </c>
      <c r="U72" s="1">
        <v>10</v>
      </c>
      <c r="V72" s="1">
        <v>11</v>
      </c>
      <c r="W72" s="1">
        <v>12</v>
      </c>
      <c r="X72" s="1">
        <v>13</v>
      </c>
      <c r="Y72" s="1">
        <v>14</v>
      </c>
      <c r="Z72" s="1">
        <v>15</v>
      </c>
    </row>
    <row r="73" spans="2:26" x14ac:dyDescent="0.4">
      <c r="C73" s="5">
        <v>0</v>
      </c>
      <c r="D73" s="11" t="str">
        <f t="shared" ref="D73:G76" ca="1" si="24">INDEX($K$77:$Z$77,4*D$72+$C73+1)</f>
        <v>aa</v>
      </c>
      <c r="E73" s="11" t="str">
        <f t="shared" ca="1" si="24"/>
        <v>61</v>
      </c>
      <c r="F73" s="11" t="str">
        <f t="shared" ca="1" si="24"/>
        <v>82</v>
      </c>
      <c r="G73" s="11" t="str">
        <f t="shared" ca="1" si="24"/>
        <v>68</v>
      </c>
      <c r="H73" s="15" t="s">
        <v>316</v>
      </c>
      <c r="I73" t="s">
        <v>20</v>
      </c>
      <c r="K73" s="12" t="str">
        <f t="shared" ref="K73:Z73" ca="1" si="25">K69</f>
        <v>a4</v>
      </c>
      <c r="L73" s="12" t="str">
        <f t="shared" ca="1" si="25"/>
        <v>9c</v>
      </c>
      <c r="M73" s="12" t="str">
        <f t="shared" ca="1" si="25"/>
        <v>7f</v>
      </c>
      <c r="N73" s="12" t="str">
        <f t="shared" ca="1" si="25"/>
        <v>f2</v>
      </c>
      <c r="O73" s="12" t="str">
        <f t="shared" ca="1" si="25"/>
        <v>68</v>
      </c>
      <c r="P73" s="12" t="str">
        <f t="shared" ca="1" si="25"/>
        <v>9f</v>
      </c>
      <c r="Q73" s="12" t="str">
        <f t="shared" ca="1" si="25"/>
        <v>35</v>
      </c>
      <c r="R73" s="12" t="str">
        <f t="shared" ca="1" si="25"/>
        <v>2b</v>
      </c>
      <c r="S73" s="12" t="str">
        <f t="shared" ca="1" si="25"/>
        <v>6b</v>
      </c>
      <c r="T73" s="12" t="str">
        <f t="shared" ca="1" si="25"/>
        <v>5b</v>
      </c>
      <c r="U73" s="12" t="str">
        <f t="shared" ca="1" si="25"/>
        <v>ea</v>
      </c>
      <c r="V73" s="12" t="str">
        <f t="shared" ca="1" si="25"/>
        <v>43</v>
      </c>
      <c r="W73" s="12" t="str">
        <f t="shared" ca="1" si="25"/>
        <v>02</v>
      </c>
      <c r="X73" s="12" t="str">
        <f t="shared" ca="1" si="25"/>
        <v>6a</v>
      </c>
      <c r="Y73" s="12" t="str">
        <f t="shared" ca="1" si="25"/>
        <v>50</v>
      </c>
      <c r="Z73" s="12" t="str">
        <f t="shared" ca="1" si="25"/>
        <v>49</v>
      </c>
    </row>
    <row r="74" spans="2:26" x14ac:dyDescent="0.4">
      <c r="C74" s="5">
        <v>1</v>
      </c>
      <c r="D74" s="11" t="str">
        <f t="shared" ca="1" si="24"/>
        <v>8f</v>
      </c>
      <c r="E74" s="11" t="str">
        <f t="shared" ca="1" si="24"/>
        <v>dd</v>
      </c>
      <c r="F74" s="11" t="str">
        <f t="shared" ca="1" si="24"/>
        <v>d2</v>
      </c>
      <c r="G74" s="11" t="str">
        <f t="shared" ca="1" si="24"/>
        <v>32</v>
      </c>
      <c r="H74" s="15" t="s">
        <v>317</v>
      </c>
      <c r="I74" t="s">
        <v>21</v>
      </c>
      <c r="K74" s="12" t="str">
        <f ca="1">'암호화과정(Ciphering)'!D33</f>
        <v>49</v>
      </c>
      <c r="L74" s="12" t="str">
        <f ca="1">'암호화과정(Ciphering)'!D34</f>
        <v>de</v>
      </c>
      <c r="M74" s="12" t="str">
        <f ca="1">'암호화과정(Ciphering)'!D35</f>
        <v>d2</v>
      </c>
      <c r="N74" s="12" t="str">
        <f ca="1">'암호화과정(Ciphering)'!D36</f>
        <v>89</v>
      </c>
      <c r="O74" s="12" t="str">
        <f ca="1">'암호화과정(Ciphering)'!E33</f>
        <v>45</v>
      </c>
      <c r="P74" s="12" t="str">
        <f ca="1">'암호화과정(Ciphering)'!E34</f>
        <v>db</v>
      </c>
      <c r="Q74" s="12" t="str">
        <f ca="1">'암호화과정(Ciphering)'!E35</f>
        <v>96</v>
      </c>
      <c r="R74" s="12" t="str">
        <f ca="1">'암호화과정(Ciphering)'!E36</f>
        <v>f1</v>
      </c>
      <c r="S74" s="12" t="str">
        <f ca="1">'암호화과정(Ciphering)'!F33</f>
        <v>7f</v>
      </c>
      <c r="T74" s="12" t="str">
        <f ca="1">'암호화과정(Ciphering)'!F34</f>
        <v>39</v>
      </c>
      <c r="U74" s="12" t="str">
        <f ca="1">'암호화과정(Ciphering)'!F35</f>
        <v>87</v>
      </c>
      <c r="V74" s="12" t="str">
        <f ca="1">'암호화과정(Ciphering)'!F36</f>
        <v>1a</v>
      </c>
      <c r="W74" s="12" t="str">
        <f ca="1">'암호화과정(Ciphering)'!G33</f>
        <v>77</v>
      </c>
      <c r="X74" s="12" t="str">
        <f ca="1">'암호화과정(Ciphering)'!G34</f>
        <v>02</v>
      </c>
      <c r="Y74" s="12" t="str">
        <f ca="1">'암호화과정(Ciphering)'!G35</f>
        <v>53</v>
      </c>
      <c r="Z74" s="12" t="str">
        <f ca="1">'암호화과정(Ciphering)'!G36</f>
        <v>3b</v>
      </c>
    </row>
    <row r="75" spans="2:26" x14ac:dyDescent="0.4">
      <c r="C75" s="5">
        <v>2</v>
      </c>
      <c r="D75" s="11" t="str">
        <f t="shared" ca="1" si="24"/>
        <v>5f</v>
      </c>
      <c r="E75" s="11" t="str">
        <f t="shared" ca="1" si="24"/>
        <v>e3</v>
      </c>
      <c r="F75" s="11" t="str">
        <f t="shared" ca="1" si="24"/>
        <v>4a</v>
      </c>
      <c r="G75" s="11" t="str">
        <f t="shared" ca="1" si="24"/>
        <v>46</v>
      </c>
      <c r="I75" t="s">
        <v>23</v>
      </c>
      <c r="K75" s="12" t="str">
        <f ca="1">'암호화과정(Ciphering)'!J33</f>
        <v>49</v>
      </c>
      <c r="L75" s="12" t="str">
        <f ca="1">'암호화과정(Ciphering)'!J34</f>
        <v>db</v>
      </c>
      <c r="M75" s="12" t="str">
        <f ca="1">'암호화과정(Ciphering)'!J35</f>
        <v>87</v>
      </c>
      <c r="N75" s="12" t="str">
        <f ca="1">'암호화과정(Ciphering)'!J36</f>
        <v>3b</v>
      </c>
      <c r="O75" s="12" t="str">
        <f ca="1">'암호화과정(Ciphering)'!K33</f>
        <v>45</v>
      </c>
      <c r="P75" s="12" t="str">
        <f ca="1">'암호화과정(Ciphering)'!K34</f>
        <v>39</v>
      </c>
      <c r="Q75" s="12" t="str">
        <f ca="1">'암호화과정(Ciphering)'!K35</f>
        <v>53</v>
      </c>
      <c r="R75" s="12" t="str">
        <f ca="1">'암호화과정(Ciphering)'!K36</f>
        <v>89</v>
      </c>
      <c r="S75" s="12" t="str">
        <f ca="1">'암호화과정(Ciphering)'!L33</f>
        <v>7f</v>
      </c>
      <c r="T75" s="12" t="str">
        <f ca="1">'암호화과정(Ciphering)'!L34</f>
        <v>02</v>
      </c>
      <c r="U75" s="12" t="str">
        <f ca="1">'암호화과정(Ciphering)'!L35</f>
        <v>d2</v>
      </c>
      <c r="V75" s="12" t="str">
        <f ca="1">'암호화과정(Ciphering)'!L36</f>
        <v>f1</v>
      </c>
      <c r="W75" s="12" t="str">
        <f ca="1">'암호화과정(Ciphering)'!M33</f>
        <v>77</v>
      </c>
      <c r="X75" s="12" t="str">
        <f ca="1">'암호화과정(Ciphering)'!M34</f>
        <v>de</v>
      </c>
      <c r="Y75" s="12" t="str">
        <f ca="1">'암호화과정(Ciphering)'!M35</f>
        <v>96</v>
      </c>
      <c r="Z75" s="12" t="str">
        <f ca="1">'암호화과정(Ciphering)'!M36</f>
        <v>1a</v>
      </c>
    </row>
    <row r="76" spans="2:26" x14ac:dyDescent="0.4">
      <c r="C76" s="1">
        <v>3</v>
      </c>
      <c r="D76" s="11" t="str">
        <f t="shared" ca="1" si="24"/>
        <v>03</v>
      </c>
      <c r="E76" s="11" t="str">
        <f t="shared" ca="1" si="24"/>
        <v>ef</v>
      </c>
      <c r="F76" s="11" t="str">
        <f t="shared" ca="1" si="24"/>
        <v>d2</v>
      </c>
      <c r="G76" s="11" t="str">
        <f t="shared" ca="1" si="24"/>
        <v>9a</v>
      </c>
      <c r="I76" t="s">
        <v>24</v>
      </c>
      <c r="K76" s="12" t="str">
        <f ca="1">'암호화과정(Ciphering)'!P33</f>
        <v>58</v>
      </c>
      <c r="L76" s="12" t="str">
        <f ca="1">'암호화과정(Ciphering)'!P34</f>
        <v>4d</v>
      </c>
      <c r="M76" s="12" t="str">
        <f ca="1">'암호화과정(Ciphering)'!P35</f>
        <v>ca</v>
      </c>
      <c r="N76" s="12" t="str">
        <f ca="1">'암호화과정(Ciphering)'!P36</f>
        <v>f1</v>
      </c>
      <c r="O76" s="12" t="str">
        <f ca="1">'암호화과정(Ciphering)'!Q33</f>
        <v>1b</v>
      </c>
      <c r="P76" s="12" t="str">
        <f ca="1">'암호화과정(Ciphering)'!Q34</f>
        <v>4b</v>
      </c>
      <c r="Q76" s="12" t="str">
        <f ca="1">'암호화과정(Ciphering)'!Q35</f>
        <v>5a</v>
      </c>
      <c r="R76" s="12" t="str">
        <f ca="1">'암호화과정(Ciphering)'!Q36</f>
        <v>ac</v>
      </c>
      <c r="S76" s="12" t="str">
        <f ca="1">'암호화과정(Ciphering)'!R33</f>
        <v>db</v>
      </c>
      <c r="T76" s="12" t="str">
        <f ca="1">'암호화과정(Ciphering)'!R34</f>
        <v>e7</v>
      </c>
      <c r="U76" s="12" t="str">
        <f ca="1">'암호화과정(Ciphering)'!R35</f>
        <v>ca</v>
      </c>
      <c r="V76" s="12" t="str">
        <f ca="1">'암호화과정(Ciphering)'!R36</f>
        <v>a8</v>
      </c>
      <c r="W76" s="12" t="str">
        <f ca="1">'암호화과정(Ciphering)'!S33</f>
        <v>1B</v>
      </c>
      <c r="X76" s="12" t="str">
        <f ca="1">'암호화과정(Ciphering)'!S34</f>
        <v>6B</v>
      </c>
      <c r="Y76" s="12" t="str">
        <f ca="1">'암호화과정(Ciphering)'!S35</f>
        <v>b0</v>
      </c>
      <c r="Z76" s="12" t="str">
        <f ca="1">'암호화과정(Ciphering)'!S36</f>
        <v>e5</v>
      </c>
    </row>
    <row r="77" spans="2:26" x14ac:dyDescent="0.4">
      <c r="I77" t="s">
        <v>22</v>
      </c>
      <c r="K77" s="12" t="str">
        <f ca="1">'암호화과정(Ciphering)'!J40</f>
        <v>aa</v>
      </c>
      <c r="L77" s="12" t="str">
        <f ca="1">'암호화과정(Ciphering)'!J41</f>
        <v>8f</v>
      </c>
      <c r="M77" s="12" t="str">
        <f ca="1">'암호화과정(Ciphering)'!J42</f>
        <v>5f</v>
      </c>
      <c r="N77" s="12" t="str">
        <f ca="1">'암호화과정(Ciphering)'!J43</f>
        <v>03</v>
      </c>
      <c r="O77" s="12" t="str">
        <f ca="1">'암호화과정(Ciphering)'!K40</f>
        <v>61</v>
      </c>
      <c r="P77" s="12" t="str">
        <f ca="1">'암호화과정(Ciphering)'!K41</f>
        <v>dd</v>
      </c>
      <c r="Q77" s="12" t="str">
        <f ca="1">'암호화과정(Ciphering)'!K42</f>
        <v>e3</v>
      </c>
      <c r="R77" s="12" t="str">
        <f ca="1">'암호화과정(Ciphering)'!K43</f>
        <v>ef</v>
      </c>
      <c r="S77" s="12" t="str">
        <f ca="1">'암호화과정(Ciphering)'!L40</f>
        <v>82</v>
      </c>
      <c r="T77" s="12" t="str">
        <f ca="1">'암호화과정(Ciphering)'!L41</f>
        <v>d2</v>
      </c>
      <c r="U77" s="12" t="str">
        <f ca="1">'암호화과정(Ciphering)'!L42</f>
        <v>4a</v>
      </c>
      <c r="V77" s="12" t="str">
        <f ca="1">'암호화과정(Ciphering)'!L43</f>
        <v>d2</v>
      </c>
      <c r="W77" s="12" t="str">
        <f ca="1">'암호화과정(Ciphering)'!M40</f>
        <v>68</v>
      </c>
      <c r="X77" s="12" t="str">
        <f ca="1">'암호화과정(Ciphering)'!M41</f>
        <v>32</v>
      </c>
      <c r="Y77" s="12" t="str">
        <f ca="1">'암호화과정(Ciphering)'!M42</f>
        <v>46</v>
      </c>
      <c r="Z77" s="12" t="str">
        <f ca="1">'암호화과정(Ciphering)'!M43</f>
        <v>9a</v>
      </c>
    </row>
  </sheetData>
  <phoneticPr fontId="1" type="noConversion"/>
  <pageMargins left="0.25" right="0.25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28"/>
  <sheetViews>
    <sheetView topLeftCell="B16" workbookViewId="0">
      <selection activeCell="D18" sqref="D18"/>
    </sheetView>
  </sheetViews>
  <sheetFormatPr defaultRowHeight="17.399999999999999" x14ac:dyDescent="0.4"/>
  <cols>
    <col min="1" max="1" width="1.59765625" customWidth="1"/>
    <col min="3" max="3" width="3.69921875" customWidth="1"/>
    <col min="4" max="6" width="4.59765625" customWidth="1"/>
    <col min="7" max="7" width="3.8984375" customWidth="1"/>
    <col min="8" max="8" width="4.69921875" customWidth="1"/>
    <col min="9" max="9" width="3.796875" customWidth="1"/>
    <col min="10" max="10" width="5" customWidth="1"/>
    <col min="11" max="12" width="3.8984375" customWidth="1"/>
    <col min="13" max="13" width="4.19921875" customWidth="1"/>
    <col min="14" max="14" width="3.19921875" customWidth="1"/>
    <col min="15" max="15" width="4" customWidth="1"/>
    <col min="16" max="25" width="4.59765625" customWidth="1"/>
  </cols>
  <sheetData>
    <row r="2" spans="2:25" ht="21" x14ac:dyDescent="0.4">
      <c r="B2" s="7" t="s">
        <v>39</v>
      </c>
    </row>
    <row r="3" spans="2:25" x14ac:dyDescent="0.4">
      <c r="B3" s="2" t="s">
        <v>312</v>
      </c>
    </row>
    <row r="4" spans="2:25" x14ac:dyDescent="0.4">
      <c r="B4" s="2" t="s">
        <v>313</v>
      </c>
    </row>
    <row r="5" spans="2:25" x14ac:dyDescent="0.4">
      <c r="B5" s="2" t="s">
        <v>314</v>
      </c>
    </row>
    <row r="7" spans="2:25" ht="30" x14ac:dyDescent="0.4">
      <c r="B7" s="2"/>
      <c r="C7" s="23" t="s">
        <v>328</v>
      </c>
    </row>
    <row r="8" spans="2:25" ht="24" x14ac:dyDescent="0.4">
      <c r="C8" s="35" t="s">
        <v>319</v>
      </c>
      <c r="D8" s="35"/>
      <c r="E8" s="35"/>
      <c r="F8" s="35"/>
      <c r="G8" s="35"/>
      <c r="I8" s="22" t="s">
        <v>320</v>
      </c>
      <c r="J8" s="22"/>
      <c r="L8" s="19" t="s">
        <v>321</v>
      </c>
      <c r="O8" s="35" t="s">
        <v>322</v>
      </c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2:25" ht="19.2" x14ac:dyDescent="0.4">
      <c r="C9" s="5"/>
      <c r="D9" s="1">
        <v>0</v>
      </c>
      <c r="E9" s="1">
        <v>1</v>
      </c>
      <c r="F9" s="1">
        <v>2</v>
      </c>
      <c r="G9" s="1">
        <v>3</v>
      </c>
      <c r="I9" s="5"/>
      <c r="J9" s="1">
        <v>0</v>
      </c>
      <c r="L9" s="5"/>
      <c r="M9" s="1">
        <v>0</v>
      </c>
      <c r="O9" s="14"/>
      <c r="P9" s="20">
        <v>0</v>
      </c>
      <c r="Q9" s="20">
        <v>1</v>
      </c>
      <c r="R9" s="20">
        <v>2</v>
      </c>
      <c r="S9" s="20">
        <v>3</v>
      </c>
      <c r="T9" s="20">
        <v>4</v>
      </c>
      <c r="U9" s="20">
        <v>5</v>
      </c>
      <c r="V9" s="20">
        <v>6</v>
      </c>
      <c r="W9" s="20">
        <v>7</v>
      </c>
      <c r="X9" s="20">
        <v>8</v>
      </c>
      <c r="Y9" s="20">
        <v>9</v>
      </c>
    </row>
    <row r="10" spans="2:25" x14ac:dyDescent="0.4">
      <c r="C10" s="5">
        <v>0</v>
      </c>
      <c r="D10" s="14" t="str">
        <f>종합!K10</f>
        <v>2b</v>
      </c>
      <c r="E10" s="14" t="str">
        <f>종합!O10</f>
        <v>28</v>
      </c>
      <c r="F10" s="14" t="str">
        <f>종합!S10</f>
        <v>ab</v>
      </c>
      <c r="G10" s="14" t="str">
        <f>종합!W10</f>
        <v>09</v>
      </c>
      <c r="I10" s="5">
        <v>0</v>
      </c>
      <c r="J10" s="14" t="str">
        <f>종합!X10</f>
        <v>cf</v>
      </c>
      <c r="L10" s="5">
        <v>0</v>
      </c>
      <c r="M10" s="14" t="str" cm="1">
        <f t="array" ref="M10">INDEX('S-box'!$D$5:$S$20,HEX2DEC(LEFT(J10,1))+1, HEX2DEC(RIGHT(J10,1))+1)</f>
        <v>8a</v>
      </c>
      <c r="O10" s="14">
        <v>0</v>
      </c>
      <c r="P10" s="14" t="s">
        <v>323</v>
      </c>
      <c r="Q10" s="14" t="s">
        <v>12</v>
      </c>
      <c r="R10" s="14" t="s">
        <v>324</v>
      </c>
      <c r="S10" s="14" t="s">
        <v>11</v>
      </c>
      <c r="T10" s="12">
        <v>10</v>
      </c>
      <c r="U10" s="12">
        <v>20</v>
      </c>
      <c r="V10" s="12">
        <v>40</v>
      </c>
      <c r="W10" s="12">
        <v>80</v>
      </c>
      <c r="X10" s="12" t="s">
        <v>326</v>
      </c>
      <c r="Y10" s="12">
        <v>36</v>
      </c>
    </row>
    <row r="11" spans="2:25" x14ac:dyDescent="0.4">
      <c r="C11" s="5">
        <v>1</v>
      </c>
      <c r="D11" s="14" t="str">
        <f>종합!L10</f>
        <v>7e</v>
      </c>
      <c r="E11" s="14" t="str">
        <f>종합!P10</f>
        <v>ae</v>
      </c>
      <c r="F11" s="14" t="str">
        <f>종합!T10</f>
        <v>f7</v>
      </c>
      <c r="G11" s="14" t="str">
        <f>종합!X10</f>
        <v>cf</v>
      </c>
      <c r="I11" s="5">
        <v>1</v>
      </c>
      <c r="J11" s="14" t="str">
        <f>종합!Y10</f>
        <v>4f</v>
      </c>
      <c r="L11" s="5">
        <v>1</v>
      </c>
      <c r="M11" s="14" t="str" cm="1">
        <f t="array" ref="M11">INDEX('S-box'!$D$5:$S$20,HEX2DEC(LEFT(J11,1))+1, HEX2DEC(RIGHT(J11,1))+1)</f>
        <v>84</v>
      </c>
      <c r="O11" s="14">
        <v>1</v>
      </c>
      <c r="P11" s="21" t="s">
        <v>325</v>
      </c>
      <c r="Q11" s="14" t="s">
        <v>325</v>
      </c>
      <c r="R11" s="14" t="s">
        <v>244</v>
      </c>
      <c r="S11" s="14" t="s">
        <v>244</v>
      </c>
      <c r="T11" s="14" t="s">
        <v>244</v>
      </c>
      <c r="U11" s="14" t="s">
        <v>244</v>
      </c>
      <c r="V11" s="14" t="s">
        <v>244</v>
      </c>
      <c r="W11" s="14" t="s">
        <v>244</v>
      </c>
      <c r="X11" s="14" t="s">
        <v>244</v>
      </c>
      <c r="Y11" s="14" t="s">
        <v>244</v>
      </c>
    </row>
    <row r="12" spans="2:25" x14ac:dyDescent="0.4">
      <c r="C12" s="5">
        <v>2</v>
      </c>
      <c r="D12" s="14" t="str">
        <f>종합!M10</f>
        <v>15</v>
      </c>
      <c r="E12" s="14" t="str">
        <f>종합!Q10</f>
        <v>d2</v>
      </c>
      <c r="F12" s="14" t="str">
        <f>종합!U10</f>
        <v>15</v>
      </c>
      <c r="G12" s="14" t="str">
        <f>종합!Y10</f>
        <v>4f</v>
      </c>
      <c r="I12" s="5">
        <v>2</v>
      </c>
      <c r="J12" s="14" t="str">
        <f>종합!Z10</f>
        <v>3c</v>
      </c>
      <c r="L12" s="5">
        <v>2</v>
      </c>
      <c r="M12" s="14" t="str" cm="1">
        <f t="array" ref="M12">INDEX('S-box'!$D$5:$S$20,HEX2DEC(LEFT(J12,1))+1, HEX2DEC(RIGHT(J12,1))+1)</f>
        <v>eb</v>
      </c>
      <c r="O12" s="14">
        <v>2</v>
      </c>
      <c r="P12" s="14" t="s">
        <v>325</v>
      </c>
      <c r="Q12" s="14" t="s">
        <v>325</v>
      </c>
      <c r="R12" s="14" t="s">
        <v>244</v>
      </c>
      <c r="S12" s="14" t="s">
        <v>244</v>
      </c>
      <c r="T12" s="14" t="s">
        <v>244</v>
      </c>
      <c r="U12" s="14" t="s">
        <v>244</v>
      </c>
      <c r="V12" s="14" t="s">
        <v>244</v>
      </c>
      <c r="W12" s="14" t="s">
        <v>244</v>
      </c>
      <c r="X12" s="14" t="s">
        <v>244</v>
      </c>
      <c r="Y12" s="14" t="s">
        <v>244</v>
      </c>
    </row>
    <row r="13" spans="2:25" x14ac:dyDescent="0.4">
      <c r="C13" s="1">
        <v>3</v>
      </c>
      <c r="D13" s="14" t="str">
        <f>종합!N10</f>
        <v>16</v>
      </c>
      <c r="E13" s="14" t="str">
        <f>종합!R10</f>
        <v>a6</v>
      </c>
      <c r="F13" s="14" t="str">
        <f>종합!V10</f>
        <v>88</v>
      </c>
      <c r="G13" s="14" t="str">
        <f>종합!Z10</f>
        <v>3c</v>
      </c>
      <c r="I13" s="1">
        <v>3</v>
      </c>
      <c r="J13" s="14" t="str">
        <f>종합!W10</f>
        <v>09</v>
      </c>
      <c r="L13" s="1">
        <v>3</v>
      </c>
      <c r="M13" s="14" t="str" cm="1">
        <f t="array" ref="M13">INDEX('S-box'!$D$5:$S$20,HEX2DEC(LEFT(J13,1))+1, HEX2DEC(RIGHT(J13,1))+1)</f>
        <v>01</v>
      </c>
      <c r="O13" s="12">
        <v>3</v>
      </c>
      <c r="P13" s="14" t="s">
        <v>325</v>
      </c>
      <c r="Q13" s="14" t="s">
        <v>325</v>
      </c>
      <c r="R13" s="14" t="s">
        <v>244</v>
      </c>
      <c r="S13" s="14" t="s">
        <v>244</v>
      </c>
      <c r="T13" s="14" t="s">
        <v>244</v>
      </c>
      <c r="U13" s="14" t="s">
        <v>244</v>
      </c>
      <c r="V13" s="14" t="s">
        <v>244</v>
      </c>
      <c r="W13" s="14" t="s">
        <v>244</v>
      </c>
      <c r="X13" s="14" t="s">
        <v>244</v>
      </c>
      <c r="Y13" s="14" t="s">
        <v>244</v>
      </c>
    </row>
    <row r="15" spans="2:25" ht="24" x14ac:dyDescent="0.4">
      <c r="C15" s="35" t="s">
        <v>327</v>
      </c>
      <c r="D15" s="35"/>
      <c r="E15" s="35"/>
      <c r="F15" s="35"/>
      <c r="G15" s="35"/>
    </row>
    <row r="16" spans="2:25" ht="21" x14ac:dyDescent="0.4">
      <c r="C16" s="5"/>
      <c r="D16" s="1">
        <v>0</v>
      </c>
      <c r="E16" s="1">
        <v>1</v>
      </c>
      <c r="F16" s="1">
        <v>2</v>
      </c>
      <c r="G16" s="1">
        <v>3</v>
      </c>
      <c r="J16" s="25" t="s">
        <v>330</v>
      </c>
    </row>
    <row r="17" spans="3:18" ht="21" x14ac:dyDescent="0.4">
      <c r="C17" s="5">
        <v>0</v>
      </c>
      <c r="D17" s="14" t="str">
        <f>LOWER(DEC2HEX(_xlfn.BITXOR(_xlfn.BITXOR(HEX2DEC(D10),HEX2DEC(M10)),HEX2DEC($P10))))</f>
        <v>a0</v>
      </c>
      <c r="E17" s="14" t="str">
        <f>LOWER(DEC2HEX(_xlfn.BITXOR(HEX2DEC(E10), HEX2DEC(D17))))</f>
        <v>88</v>
      </c>
      <c r="F17" s="14" t="str">
        <f t="shared" ref="E17:G19" si="0">LOWER(DEC2HEX(_xlfn.BITXOR(HEX2DEC(F10), HEX2DEC(E17))))</f>
        <v>23</v>
      </c>
      <c r="G17" s="14" t="str">
        <f t="shared" si="0"/>
        <v>2a</v>
      </c>
      <c r="J17" s="26" t="s">
        <v>332</v>
      </c>
    </row>
    <row r="18" spans="3:18" ht="21" x14ac:dyDescent="0.4">
      <c r="C18" s="5">
        <v>1</v>
      </c>
      <c r="D18" s="14" t="str">
        <f>LOWER(DEC2HEX(_xlfn.BITXOR(_xlfn.BITXOR(HEX2DEC(D11),HEX2DEC(M11)),HEX2DEC($P11))))</f>
        <v>fa</v>
      </c>
      <c r="E18" s="14" t="str">
        <f t="shared" si="0"/>
        <v>54</v>
      </c>
      <c r="F18" s="14" t="str">
        <f t="shared" si="0"/>
        <v>a3</v>
      </c>
      <c r="G18" s="14" t="str">
        <f t="shared" si="0"/>
        <v>6c</v>
      </c>
      <c r="J18" s="26" t="s">
        <v>336</v>
      </c>
    </row>
    <row r="19" spans="3:18" ht="21" x14ac:dyDescent="0.4">
      <c r="C19" s="5">
        <v>2</v>
      </c>
      <c r="D19" s="14" t="str">
        <f>LOWER(DEC2HEX(_xlfn.BITXOR(_xlfn.BITXOR(HEX2DEC(D12),HEX2DEC(M12)),HEX2DEC($P12))))</f>
        <v>fe</v>
      </c>
      <c r="E19" s="14" t="str">
        <f t="shared" si="0"/>
        <v>2c</v>
      </c>
      <c r="F19" s="14" t="str">
        <f t="shared" si="0"/>
        <v>39</v>
      </c>
      <c r="G19" s="14" t="str">
        <f t="shared" si="0"/>
        <v>76</v>
      </c>
      <c r="J19" s="26" t="s">
        <v>331</v>
      </c>
    </row>
    <row r="20" spans="3:18" x14ac:dyDescent="0.4">
      <c r="C20" s="1">
        <v>3</v>
      </c>
      <c r="D20" s="14" t="str">
        <f>LOWER(DEC2HEX(_xlfn.BITXOR(_xlfn.BITXOR(HEX2DEC(D13),HEX2DEC(M13)),HEX2DEC($P13))))</f>
        <v>17</v>
      </c>
      <c r="E20" s="14" t="str">
        <f>LOWER(DEC2HEX(_xlfn.BITXOR(HEX2DEC(E13), HEX2DEC(D20))))</f>
        <v>b1</v>
      </c>
      <c r="F20" s="14" t="str">
        <f>LOWER(DEC2HEX(_xlfn.BITXOR(HEX2DEC(F13), HEX2DEC(E20))))</f>
        <v>39</v>
      </c>
      <c r="G20" s="14" t="str">
        <f>LOWER(TEXT(DEC2HEX(_xlfn.BITXOR(HEX2DEC(G13), HEX2DEC(F20))), "00"))</f>
        <v>05</v>
      </c>
    </row>
    <row r="22" spans="3:18" ht="30" x14ac:dyDescent="0.4">
      <c r="C22" s="24" t="s">
        <v>329</v>
      </c>
    </row>
    <row r="23" spans="3:18" ht="24" x14ac:dyDescent="0.4">
      <c r="C23" s="22" t="s">
        <v>320</v>
      </c>
      <c r="D23" s="22"/>
      <c r="G23" s="19" t="s">
        <v>321</v>
      </c>
      <c r="K23" s="19" t="s">
        <v>322</v>
      </c>
      <c r="N23" s="35" t="s">
        <v>327</v>
      </c>
      <c r="O23" s="35"/>
      <c r="P23" s="35"/>
      <c r="Q23" s="35"/>
      <c r="R23" s="35"/>
    </row>
    <row r="24" spans="3:18" ht="19.2" x14ac:dyDescent="0.4">
      <c r="C24" s="5"/>
      <c r="D24" s="1">
        <v>0</v>
      </c>
      <c r="G24" s="5"/>
      <c r="H24" s="1">
        <v>0</v>
      </c>
      <c r="K24" s="14"/>
      <c r="L24" s="20">
        <v>0</v>
      </c>
      <c r="N24" s="5"/>
      <c r="O24" s="1">
        <v>0</v>
      </c>
      <c r="P24" s="1">
        <v>1</v>
      </c>
      <c r="Q24" s="1">
        <v>2</v>
      </c>
      <c r="R24" s="1">
        <v>3</v>
      </c>
    </row>
    <row r="25" spans="3:18" x14ac:dyDescent="0.4">
      <c r="C25" s="5">
        <v>0</v>
      </c>
      <c r="D25" s="14" t="str">
        <f>G18</f>
        <v>6c</v>
      </c>
      <c r="G25" s="5">
        <v>0</v>
      </c>
      <c r="H25" s="14" t="str" cm="1">
        <f t="array" ref="H25">INDEX('S-box'!$D$5:$S$20,HEX2DEC(LEFT(D25,1))+1, HEX2DEC(RIGHT(D25,1))+1)</f>
        <v>50</v>
      </c>
      <c r="K25" s="14">
        <v>0</v>
      </c>
      <c r="L25" s="14" t="s">
        <v>12</v>
      </c>
      <c r="N25" s="5">
        <v>0</v>
      </c>
      <c r="O25" s="14" t="str">
        <f>LOWER(DEC2HEX(_xlfn.BITXOR(_xlfn.BITXOR(HEX2DEC(D17),HEX2DEC(H25)),HEX2DEC($L25))))</f>
        <v>f2</v>
      </c>
      <c r="P25" s="14" t="str">
        <f t="shared" ref="P25:R28" si="1">LOWER(DEC2HEX(_xlfn.BITXOR(HEX2DEC(E17), HEX2DEC(O25))))</f>
        <v>7a</v>
      </c>
      <c r="Q25" s="14" t="str">
        <f t="shared" si="1"/>
        <v>59</v>
      </c>
      <c r="R25" s="14" t="str">
        <f t="shared" si="1"/>
        <v>73</v>
      </c>
    </row>
    <row r="26" spans="3:18" x14ac:dyDescent="0.4">
      <c r="C26" s="5">
        <v>1</v>
      </c>
      <c r="D26" s="14" t="str">
        <f>G19</f>
        <v>76</v>
      </c>
      <c r="G26" s="5">
        <v>1</v>
      </c>
      <c r="H26" s="14" t="str" cm="1">
        <f t="array" ref="H26">INDEX('S-box'!$D$5:$S$20,HEX2DEC(LEFT(D26,1))+1, HEX2DEC(RIGHT(D26,1))+1)</f>
        <v>38</v>
      </c>
      <c r="K26" s="14">
        <v>1</v>
      </c>
      <c r="L26" s="14" t="s">
        <v>325</v>
      </c>
      <c r="N26" s="5">
        <v>1</v>
      </c>
      <c r="O26" s="14" t="str">
        <f>LOWER(DEC2HEX(_xlfn.BITXOR(_xlfn.BITXOR(HEX2DEC(D18),HEX2DEC(H26)),HEX2DEC($L26))))</f>
        <v>c2</v>
      </c>
      <c r="P26" s="14" t="str">
        <f t="shared" si="1"/>
        <v>96</v>
      </c>
      <c r="Q26" s="14" t="str">
        <f t="shared" si="1"/>
        <v>35</v>
      </c>
      <c r="R26" s="14" t="str">
        <f t="shared" si="1"/>
        <v>59</v>
      </c>
    </row>
    <row r="27" spans="3:18" x14ac:dyDescent="0.4">
      <c r="C27" s="5">
        <v>2</v>
      </c>
      <c r="D27" s="14" t="str">
        <f>G20</f>
        <v>05</v>
      </c>
      <c r="G27" s="5">
        <v>2</v>
      </c>
      <c r="H27" s="14" t="str" cm="1">
        <f t="array" ref="H27">INDEX('S-box'!$D$5:$S$20,HEX2DEC(LEFT(D27,1))+1, HEX2DEC(RIGHT(D27,1))+1)</f>
        <v>6b</v>
      </c>
      <c r="K27" s="14">
        <v>2</v>
      </c>
      <c r="L27" s="14" t="s">
        <v>325</v>
      </c>
      <c r="N27" s="5">
        <v>2</v>
      </c>
      <c r="O27" s="14" t="str">
        <f>LOWER(DEC2HEX(_xlfn.BITXOR(_xlfn.BITXOR(HEX2DEC(D19),HEX2DEC(H27)),HEX2DEC($L27))))</f>
        <v>95</v>
      </c>
      <c r="P27" s="14" t="str">
        <f t="shared" si="1"/>
        <v>b9</v>
      </c>
      <c r="Q27" s="14" t="str">
        <f t="shared" si="1"/>
        <v>80</v>
      </c>
      <c r="R27" s="14" t="str">
        <f t="shared" si="1"/>
        <v>f6</v>
      </c>
    </row>
    <row r="28" spans="3:18" x14ac:dyDescent="0.4">
      <c r="C28" s="1">
        <v>3</v>
      </c>
      <c r="D28" s="14" t="str">
        <f>G17</f>
        <v>2a</v>
      </c>
      <c r="G28" s="1">
        <v>3</v>
      </c>
      <c r="H28" s="14" t="str" cm="1">
        <f t="array" ref="H28">INDEX('S-box'!$D$5:$S$20,HEX2DEC(LEFT(D28,1))+1, HEX2DEC(RIGHT(D28,1))+1)</f>
        <v>e5</v>
      </c>
      <c r="K28" s="12">
        <v>3</v>
      </c>
      <c r="L28" s="14" t="s">
        <v>325</v>
      </c>
      <c r="N28" s="1">
        <v>3</v>
      </c>
      <c r="O28" s="14" t="str">
        <f>LOWER(DEC2HEX(_xlfn.BITXOR(_xlfn.BITXOR(HEX2DEC(D20),HEX2DEC(H28)),HEX2DEC($L28))))</f>
        <v>f2</v>
      </c>
      <c r="P28" s="14" t="str">
        <f t="shared" si="1"/>
        <v>43</v>
      </c>
      <c r="Q28" s="14" t="str">
        <f t="shared" si="1"/>
        <v>7a</v>
      </c>
      <c r="R28" s="14" t="str">
        <f t="shared" si="1"/>
        <v>7f</v>
      </c>
    </row>
  </sheetData>
  <mergeCells count="4">
    <mergeCell ref="N23:R23"/>
    <mergeCell ref="C8:G8"/>
    <mergeCell ref="O8:Y8"/>
    <mergeCell ref="C15:G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G54"/>
  <sheetViews>
    <sheetView topLeftCell="A41" workbookViewId="0">
      <selection activeCell="C55" sqref="C55"/>
    </sheetView>
  </sheetViews>
  <sheetFormatPr defaultRowHeight="17.399999999999999" x14ac:dyDescent="0.4"/>
  <cols>
    <col min="1" max="1" width="1.59765625" customWidth="1"/>
    <col min="3" max="3" width="3.19921875" customWidth="1"/>
    <col min="4" max="7" width="3.8984375" customWidth="1"/>
    <col min="8" max="8" width="3.296875" customWidth="1"/>
    <col min="9" max="9" width="3.59765625" customWidth="1"/>
    <col min="10" max="13" width="4" customWidth="1"/>
    <col min="14" max="14" width="3.5" customWidth="1"/>
    <col min="15" max="15" width="3.69921875" customWidth="1"/>
    <col min="16" max="19" width="4.296875" customWidth="1"/>
    <col min="21" max="21" width="3.5" customWidth="1"/>
    <col min="22" max="25" width="4.09765625" customWidth="1"/>
    <col min="26" max="26" width="3.796875" customWidth="1"/>
    <col min="27" max="49" width="4" customWidth="1"/>
    <col min="50" max="50" width="3.09765625" customWidth="1"/>
    <col min="51" max="55" width="4" customWidth="1"/>
    <col min="56" max="59" width="3.8984375" customWidth="1"/>
  </cols>
  <sheetData>
    <row r="2" spans="2:59" ht="21" x14ac:dyDescent="0.4">
      <c r="B2" s="7" t="s">
        <v>40</v>
      </c>
    </row>
    <row r="3" spans="2:59" x14ac:dyDescent="0.4">
      <c r="B3" s="2" t="s">
        <v>312</v>
      </c>
    </row>
    <row r="4" spans="2:59" x14ac:dyDescent="0.4">
      <c r="B4" s="2" t="s">
        <v>313</v>
      </c>
    </row>
    <row r="5" spans="2:59" x14ac:dyDescent="0.4">
      <c r="B5" s="2" t="s">
        <v>314</v>
      </c>
    </row>
    <row r="7" spans="2:59" ht="30" x14ac:dyDescent="0.4">
      <c r="C7" s="24" t="s">
        <v>334</v>
      </c>
    </row>
    <row r="8" spans="2:59" ht="24" x14ac:dyDescent="0.4">
      <c r="C8" s="35" t="s">
        <v>18</v>
      </c>
      <c r="D8" s="35"/>
      <c r="E8" s="35"/>
      <c r="F8" s="35"/>
      <c r="G8" s="35"/>
      <c r="I8" s="35" t="s">
        <v>19</v>
      </c>
      <c r="J8" s="37"/>
      <c r="K8" s="37"/>
      <c r="L8" s="37"/>
      <c r="M8" s="37"/>
      <c r="O8" s="22" t="s">
        <v>333</v>
      </c>
      <c r="P8" s="22"/>
      <c r="Q8" s="22"/>
      <c r="R8" s="22"/>
      <c r="S8" s="22"/>
    </row>
    <row r="9" spans="2:59" ht="21" x14ac:dyDescent="0.4">
      <c r="C9" s="5"/>
      <c r="D9" s="1">
        <v>0</v>
      </c>
      <c r="E9" s="1">
        <v>1</v>
      </c>
      <c r="F9" s="1">
        <v>2</v>
      </c>
      <c r="G9" s="1">
        <v>3</v>
      </c>
      <c r="I9" s="5"/>
      <c r="J9" s="1">
        <v>0</v>
      </c>
      <c r="K9" s="1">
        <v>1</v>
      </c>
      <c r="L9" s="1">
        <v>2</v>
      </c>
      <c r="M9" s="1">
        <v>3</v>
      </c>
      <c r="O9" s="5"/>
      <c r="P9" s="1">
        <v>0</v>
      </c>
      <c r="Q9" s="1">
        <v>1</v>
      </c>
      <c r="R9" s="1">
        <v>2</v>
      </c>
      <c r="S9" s="1">
        <v>3</v>
      </c>
      <c r="U9" s="25" t="s">
        <v>335</v>
      </c>
    </row>
    <row r="10" spans="2:59" ht="21" x14ac:dyDescent="0.4">
      <c r="C10" s="5">
        <v>0</v>
      </c>
      <c r="D10" s="12" t="str">
        <f t="shared" ref="D10:G13" ca="1" si="0">INDEX($K$21:$T$21,4*C$22+$D10+1)</f>
        <v>32</v>
      </c>
      <c r="E10" s="12" t="str">
        <f t="shared" ca="1" si="0"/>
        <v>88</v>
      </c>
      <c r="F10" s="12" t="str">
        <f t="shared" ca="1" si="0"/>
        <v>31</v>
      </c>
      <c r="G10" s="12" t="str">
        <f t="shared" ca="1" si="0"/>
        <v>e0</v>
      </c>
      <c r="I10" s="5">
        <v>0</v>
      </c>
      <c r="J10" s="12" t="str">
        <f t="shared" ref="J10:M13" ca="1" si="1">INDEX($K$10:$Z$10,4*J$12+$C10+1)</f>
        <v>2b</v>
      </c>
      <c r="K10" s="12" t="str">
        <f t="shared" ca="1" si="1"/>
        <v>28</v>
      </c>
      <c r="L10" s="12" t="str">
        <f t="shared" ca="1" si="1"/>
        <v>ab</v>
      </c>
      <c r="M10" s="12" t="str">
        <f t="shared" ca="1" si="1"/>
        <v>09</v>
      </c>
      <c r="O10" s="5">
        <v>0</v>
      </c>
      <c r="P10" s="12" t="str">
        <f t="shared" ref="P10:S12" ca="1" si="2">LOWER(DEC2HEX(_xlfn.BITXOR(HEX2DEC(D10),HEX2DEC(J10))))</f>
        <v>19</v>
      </c>
      <c r="Q10" s="12" t="str">
        <f t="shared" ca="1" si="2"/>
        <v>a0</v>
      </c>
      <c r="R10" s="12" t="str">
        <f t="shared" ca="1" si="2"/>
        <v>9a</v>
      </c>
      <c r="S10" s="12" t="str">
        <f t="shared" ca="1" si="2"/>
        <v>e9</v>
      </c>
      <c r="U10" s="26" t="s">
        <v>331</v>
      </c>
    </row>
    <row r="11" spans="2:59" x14ac:dyDescent="0.4">
      <c r="C11" s="5">
        <v>1</v>
      </c>
      <c r="D11" s="12" t="str">
        <f t="shared" ca="1" si="0"/>
        <v>43</v>
      </c>
      <c r="E11" s="12" t="str">
        <f t="shared" ca="1" si="0"/>
        <v>5a</v>
      </c>
      <c r="F11" s="12" t="str">
        <f t="shared" ca="1" si="0"/>
        <v>31</v>
      </c>
      <c r="G11" s="12" t="str">
        <f t="shared" ca="1" si="0"/>
        <v>37</v>
      </c>
      <c r="I11" s="5">
        <v>1</v>
      </c>
      <c r="J11" s="12" t="str">
        <f t="shared" ca="1" si="1"/>
        <v>7e</v>
      </c>
      <c r="K11" s="12" t="str">
        <f t="shared" ca="1" si="1"/>
        <v>ae</v>
      </c>
      <c r="L11" s="12" t="str">
        <f t="shared" ca="1" si="1"/>
        <v>f7</v>
      </c>
      <c r="M11" s="12" t="str">
        <f t="shared" ca="1" si="1"/>
        <v>cf</v>
      </c>
      <c r="O11" s="5">
        <v>1</v>
      </c>
      <c r="P11" s="12" t="str">
        <f t="shared" ca="1" si="2"/>
        <v>3d</v>
      </c>
      <c r="Q11" s="12" t="str">
        <f t="shared" ca="1" si="2"/>
        <v>f4</v>
      </c>
      <c r="R11" s="12" t="str">
        <f t="shared" ca="1" si="2"/>
        <v>c6</v>
      </c>
      <c r="S11" s="12" t="str">
        <f t="shared" ca="1" si="2"/>
        <v>f8</v>
      </c>
    </row>
    <row r="12" spans="2:59" x14ac:dyDescent="0.4">
      <c r="C12" s="5">
        <v>2</v>
      </c>
      <c r="D12" s="12" t="str">
        <f t="shared" ca="1" si="0"/>
        <v>f6</v>
      </c>
      <c r="E12" s="12" t="str">
        <f t="shared" ca="1" si="0"/>
        <v>30</v>
      </c>
      <c r="F12" s="12" t="str">
        <f t="shared" ca="1" si="0"/>
        <v>98</v>
      </c>
      <c r="G12" s="12" t="str">
        <f t="shared" ca="1" si="0"/>
        <v>07</v>
      </c>
      <c r="I12" s="5">
        <v>2</v>
      </c>
      <c r="J12" s="12" t="str">
        <f t="shared" ca="1" si="1"/>
        <v>15</v>
      </c>
      <c r="K12" s="12" t="str">
        <f t="shared" ca="1" si="1"/>
        <v>d2</v>
      </c>
      <c r="L12" s="12" t="str">
        <f t="shared" ca="1" si="1"/>
        <v>15</v>
      </c>
      <c r="M12" s="12" t="str">
        <f t="shared" ca="1" si="1"/>
        <v>4f</v>
      </c>
      <c r="O12" s="5">
        <v>2</v>
      </c>
      <c r="P12" s="12" t="str">
        <f t="shared" ca="1" si="2"/>
        <v>e3</v>
      </c>
      <c r="Q12" s="12" t="str">
        <f t="shared" ca="1" si="2"/>
        <v>e2</v>
      </c>
      <c r="R12" s="12" t="str">
        <f t="shared" ca="1" si="2"/>
        <v>8d</v>
      </c>
      <c r="S12" s="12" t="str">
        <f t="shared" ca="1" si="2"/>
        <v>48</v>
      </c>
    </row>
    <row r="13" spans="2:59" x14ac:dyDescent="0.4">
      <c r="C13" s="1">
        <v>3</v>
      </c>
      <c r="D13" s="12" t="str">
        <f t="shared" ca="1" si="0"/>
        <v>a8</v>
      </c>
      <c r="E13" s="12" t="str">
        <f t="shared" ca="1" si="0"/>
        <v>8d</v>
      </c>
      <c r="F13" s="12" t="str">
        <f t="shared" ca="1" si="0"/>
        <v>a2</v>
      </c>
      <c r="G13" s="12" t="str">
        <f t="shared" ca="1" si="0"/>
        <v>34</v>
      </c>
      <c r="I13" s="1">
        <v>3</v>
      </c>
      <c r="J13" s="12" t="str">
        <f t="shared" ca="1" si="1"/>
        <v>16</v>
      </c>
      <c r="K13" s="12" t="str">
        <f t="shared" ca="1" si="1"/>
        <v>a6</v>
      </c>
      <c r="L13" s="12" t="str">
        <f t="shared" ca="1" si="1"/>
        <v>88</v>
      </c>
      <c r="M13" s="12" t="str">
        <f t="shared" ca="1" si="1"/>
        <v>3c</v>
      </c>
      <c r="O13" s="1">
        <v>3</v>
      </c>
      <c r="P13" s="12" t="str">
        <f ca="1">LOWER(DEC2HEX(_xlfn.BITXOR(HEX2DEC(D13),HEX2DEC(J13))))</f>
        <v>be</v>
      </c>
      <c r="Q13" s="12" t="str">
        <f ca="1">LOWER(DEC2HEX(_xlfn.BITXOR(HEX2DEC(E13),HEX2DEC(K13))))</f>
        <v>2b</v>
      </c>
      <c r="R13" s="12" t="str">
        <f ca="1">LOWER(DEC2HEX(_xlfn.BITXOR(HEX2DEC(F13),HEX2DEC(L13))))</f>
        <v>2a</v>
      </c>
      <c r="S13" s="12" t="str">
        <f ca="1">LOWER(TEXT(DEC2HEX(_xlfn.BITXOR(HEX2DEC(G13), HEX2DEC(M13))), "00"))</f>
        <v>08</v>
      </c>
    </row>
    <row r="15" spans="2:59" ht="30" x14ac:dyDescent="0.4">
      <c r="C15" s="24" t="s">
        <v>337</v>
      </c>
    </row>
    <row r="16" spans="2:59" ht="24" x14ac:dyDescent="0.4">
      <c r="C16" s="19" t="s">
        <v>21</v>
      </c>
      <c r="I16" s="19" t="s">
        <v>338</v>
      </c>
      <c r="O16" s="19" t="s">
        <v>339</v>
      </c>
      <c r="U16" s="36" t="s">
        <v>340</v>
      </c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O16" s="36" t="s">
        <v>343</v>
      </c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3:59" x14ac:dyDescent="0.4">
      <c r="C17" s="5"/>
      <c r="D17" s="1">
        <v>0</v>
      </c>
      <c r="E17" s="1">
        <v>1</v>
      </c>
      <c r="F17" s="1">
        <v>2</v>
      </c>
      <c r="G17" s="1">
        <v>3</v>
      </c>
      <c r="I17" s="5"/>
      <c r="J17" s="1">
        <v>0</v>
      </c>
      <c r="K17" s="1">
        <v>1</v>
      </c>
      <c r="L17" s="1">
        <v>2</v>
      </c>
      <c r="M17" s="1">
        <v>3</v>
      </c>
      <c r="O17" s="5"/>
      <c r="P17" s="1">
        <v>0</v>
      </c>
      <c r="Q17" s="1">
        <v>1</v>
      </c>
      <c r="R17" s="1">
        <v>2</v>
      </c>
      <c r="S17" s="1">
        <v>3</v>
      </c>
      <c r="U17" s="1">
        <v>0</v>
      </c>
      <c r="V17" s="1">
        <v>1</v>
      </c>
      <c r="W17" s="1">
        <v>2</v>
      </c>
      <c r="X17" s="1">
        <v>3</v>
      </c>
      <c r="Z17" s="1">
        <v>4</v>
      </c>
      <c r="AA17" s="1">
        <v>5</v>
      </c>
      <c r="AB17" s="1">
        <v>6</v>
      </c>
      <c r="AC17" s="1">
        <v>7</v>
      </c>
      <c r="AE17" s="1">
        <v>8</v>
      </c>
      <c r="AF17" s="1">
        <v>9</v>
      </c>
      <c r="AG17" s="1">
        <v>10</v>
      </c>
      <c r="AH17" s="1">
        <v>11</v>
      </c>
      <c r="AI17" s="9"/>
      <c r="AJ17" s="1">
        <v>12</v>
      </c>
      <c r="AK17" s="1">
        <v>13</v>
      </c>
      <c r="AL17" s="1">
        <v>14</v>
      </c>
      <c r="AM17" s="1">
        <v>15</v>
      </c>
      <c r="AN17" s="9"/>
      <c r="AO17" s="1">
        <v>0</v>
      </c>
      <c r="AP17" s="1">
        <v>1</v>
      </c>
      <c r="AQ17" s="1">
        <v>2</v>
      </c>
      <c r="AR17" s="1">
        <v>3</v>
      </c>
      <c r="AT17" s="1">
        <v>4</v>
      </c>
      <c r="AU17" s="1">
        <v>5</v>
      </c>
      <c r="AV17" s="1">
        <v>6</v>
      </c>
      <c r="AW17" s="1">
        <v>7</v>
      </c>
      <c r="AY17" s="1">
        <v>8</v>
      </c>
      <c r="AZ17" s="1">
        <v>9</v>
      </c>
      <c r="BA17" s="1">
        <v>10</v>
      </c>
      <c r="BB17" s="1">
        <v>11</v>
      </c>
      <c r="BC17" s="9"/>
      <c r="BD17" s="1">
        <v>12</v>
      </c>
      <c r="BE17" s="1">
        <v>13</v>
      </c>
      <c r="BF17" s="1">
        <v>14</v>
      </c>
      <c r="BG17" s="1">
        <v>15</v>
      </c>
    </row>
    <row r="18" spans="3:59" x14ac:dyDescent="0.4">
      <c r="C18" s="5">
        <v>0</v>
      </c>
      <c r="D18" s="12" t="str" cm="1">
        <f t="array" aca="1" ref="D18" ca="1">INDEX('S-box'!$D$5:$S$20,HEX2DEC(LEFT(P10,1))+1, HEX2DEC(RIGHT(P10,1))+1)</f>
        <v>d4</v>
      </c>
      <c r="E18" s="12" t="str" cm="1">
        <f t="array" aca="1" ref="E18" ca="1">INDEX('S-box'!$D$5:$S$20,HEX2DEC(LEFT(Q10,1))+1, HEX2DEC(RIGHT(Q10,1))+1)</f>
        <v>e0</v>
      </c>
      <c r="F18" s="12" t="str" cm="1">
        <f t="array" aca="1" ref="F18" ca="1">INDEX('S-box'!$D$5:$S$20,HEX2DEC(LEFT(R10,1))+1, HEX2DEC(RIGHT(R10,1))+1)</f>
        <v>b8</v>
      </c>
      <c r="G18" s="12" t="str" cm="1">
        <f t="array" aca="1" ref="G18" ca="1">INDEX('S-box'!$D$5:$S$20,HEX2DEC(LEFT(S10,1))+1, HEX2DEC(RIGHT(S10,1))+1)</f>
        <v>1e</v>
      </c>
      <c r="I18" s="5">
        <v>0</v>
      </c>
      <c r="J18" s="12" t="str">
        <f ca="1">D18</f>
        <v>d4</v>
      </c>
      <c r="K18" s="12" t="str">
        <f ca="1">E18</f>
        <v>e0</v>
      </c>
      <c r="L18" s="12" t="str">
        <f ca="1">F18</f>
        <v>b8</v>
      </c>
      <c r="M18" s="12" t="str">
        <f ca="1">G18</f>
        <v>1e</v>
      </c>
      <c r="O18" s="5">
        <v>0</v>
      </c>
      <c r="P18" s="12" t="str">
        <f ca="1">U26</f>
        <v>04</v>
      </c>
      <c r="Q18" s="12" t="str">
        <f ca="1">Z26</f>
        <v>e0</v>
      </c>
      <c r="R18" s="12" t="str">
        <f ca="1">AE26</f>
        <v>48</v>
      </c>
      <c r="S18" s="12" t="str">
        <f ca="1">AJ26</f>
        <v>28</v>
      </c>
      <c r="U18" s="30" t="str">
        <f ca="1">$J$18</f>
        <v>d4</v>
      </c>
      <c r="V18" s="30" t="str">
        <f ca="1">$J$19</f>
        <v>bf</v>
      </c>
      <c r="W18" s="30" t="str">
        <f ca="1">$J$20</f>
        <v>5d</v>
      </c>
      <c r="X18" s="30" t="str">
        <f ca="1">$J$21</f>
        <v>30</v>
      </c>
      <c r="Y18" s="8"/>
      <c r="Z18" s="30" t="str">
        <f ca="1">$K$18</f>
        <v>e0</v>
      </c>
      <c r="AA18" s="30" t="str">
        <f ca="1">$K$19</f>
        <v>b4</v>
      </c>
      <c r="AB18" s="30" t="str">
        <f ca="1">$K$20</f>
        <v>52</v>
      </c>
      <c r="AC18" s="30" t="str">
        <f ca="1">$K$21</f>
        <v>ae</v>
      </c>
      <c r="AE18" s="30" t="str">
        <f ca="1">$L$18</f>
        <v>b8</v>
      </c>
      <c r="AF18" s="30" t="str">
        <f ca="1">$L$19</f>
        <v>41</v>
      </c>
      <c r="AG18" s="30" t="str">
        <f ca="1">$L$20</f>
        <v>11</v>
      </c>
      <c r="AH18" s="30" t="str">
        <f ca="1">$L$21</f>
        <v>f1</v>
      </c>
      <c r="AI18" s="9"/>
      <c r="AJ18" s="30" t="str">
        <f ca="1">$M$18</f>
        <v>1e</v>
      </c>
      <c r="AK18" s="30" t="str">
        <f ca="1">$M$19</f>
        <v>27</v>
      </c>
      <c r="AL18" s="30" t="str">
        <f ca="1">$M$20</f>
        <v>98</v>
      </c>
      <c r="AM18" s="30" t="str">
        <f ca="1">$M$21</f>
        <v>e5</v>
      </c>
      <c r="AN18" s="9"/>
      <c r="AO18" s="30" t="str">
        <f ca="1">$J$33</f>
        <v>49</v>
      </c>
      <c r="AP18" s="30" t="str">
        <f ca="1">$J$34</f>
        <v>db</v>
      </c>
      <c r="AQ18" s="30" t="str">
        <f ca="1">$J$35</f>
        <v>87</v>
      </c>
      <c r="AR18" s="30" t="str">
        <f ca="1">$J$36</f>
        <v>3b</v>
      </c>
      <c r="AS18" s="8"/>
      <c r="AT18" s="30" t="str">
        <f ca="1">$K$33</f>
        <v>45</v>
      </c>
      <c r="AU18" s="30" t="str">
        <f ca="1">$K$34</f>
        <v>39</v>
      </c>
      <c r="AV18" s="30" t="str">
        <f ca="1">$K$35</f>
        <v>53</v>
      </c>
      <c r="AW18" s="30" t="str">
        <f ca="1">$K$36</f>
        <v>89</v>
      </c>
      <c r="AY18" s="30" t="str">
        <f ca="1">$L$33</f>
        <v>7f</v>
      </c>
      <c r="AZ18" s="30" t="str">
        <f ca="1">$L$34</f>
        <v>02</v>
      </c>
      <c r="BA18" s="30" t="str">
        <f ca="1">$L$35</f>
        <v>d2</v>
      </c>
      <c r="BB18" s="30" t="str">
        <f ca="1">$L$36</f>
        <v>f1</v>
      </c>
      <c r="BC18" s="9"/>
      <c r="BD18" s="30" t="str">
        <f ca="1">$M$33</f>
        <v>77</v>
      </c>
      <c r="BE18" s="30" t="str">
        <f ca="1">$M$34</f>
        <v>de</v>
      </c>
      <c r="BF18" s="30" t="str">
        <f ca="1">$M$35</f>
        <v>96</v>
      </c>
      <c r="BG18" s="30" t="str">
        <f ca="1">$M$36</f>
        <v>1a</v>
      </c>
    </row>
    <row r="19" spans="3:59" x14ac:dyDescent="0.4">
      <c r="C19" s="5">
        <v>1</v>
      </c>
      <c r="D19" s="12" t="str" cm="1">
        <f t="array" aca="1" ref="D19" ca="1">INDEX('S-box'!$D$5:$S$20,HEX2DEC(LEFT(P11,1))+1, HEX2DEC(RIGHT(P11,1))+1)</f>
        <v>27</v>
      </c>
      <c r="E19" s="12" t="str" cm="1">
        <f t="array" aca="1" ref="E19" ca="1">INDEX('S-box'!$D$5:$S$20,HEX2DEC(LEFT(Q11,1))+1, HEX2DEC(RIGHT(Q11,1))+1)</f>
        <v>bf</v>
      </c>
      <c r="F19" s="12" t="str" cm="1">
        <f t="array" aca="1" ref="F19" ca="1">INDEX('S-box'!$D$5:$S$20,HEX2DEC(LEFT(R11,1))+1, HEX2DEC(RIGHT(R11,1))+1)</f>
        <v>b4</v>
      </c>
      <c r="G19" s="12" t="str" cm="1">
        <f t="array" aca="1" ref="G19" ca="1">INDEX('S-box'!$D$5:$S$20,HEX2DEC(LEFT(S11,1))+1, HEX2DEC(RIGHT(S11,1))+1)</f>
        <v>41</v>
      </c>
      <c r="I19" s="5">
        <v>1</v>
      </c>
      <c r="J19" s="12" t="str">
        <f ca="1">E19</f>
        <v>bf</v>
      </c>
      <c r="K19" s="12" t="str">
        <f ca="1">F19</f>
        <v>b4</v>
      </c>
      <c r="L19" s="12" t="str">
        <f ca="1">G19</f>
        <v>41</v>
      </c>
      <c r="M19" s="12" t="str">
        <f ca="1">D19</f>
        <v>27</v>
      </c>
      <c r="O19" s="5">
        <v>1</v>
      </c>
      <c r="P19" s="12" t="str">
        <f ca="1">V35</f>
        <v>66</v>
      </c>
      <c r="Q19" s="12" t="str">
        <f ca="1">AA35</f>
        <v>cb</v>
      </c>
      <c r="R19" s="12" t="str">
        <f ca="1">AF35</f>
        <v>f8</v>
      </c>
      <c r="S19" s="12" t="str">
        <f ca="1">AK35</f>
        <v>06</v>
      </c>
      <c r="U19" s="30" t="str">
        <f ca="1">U18</f>
        <v>d4</v>
      </c>
      <c r="V19" s="12"/>
      <c r="W19" s="12"/>
      <c r="X19" s="12"/>
      <c r="Y19" s="8"/>
      <c r="Z19" s="30" t="str">
        <f ca="1">Z18</f>
        <v>e0</v>
      </c>
      <c r="AA19" s="12"/>
      <c r="AB19" s="12"/>
      <c r="AC19" s="12"/>
      <c r="AE19" s="30" t="str">
        <f ca="1">AE18</f>
        <v>b8</v>
      </c>
      <c r="AF19" s="12"/>
      <c r="AG19" s="12"/>
      <c r="AH19" s="12"/>
      <c r="AI19" s="9"/>
      <c r="AJ19" s="30" t="str">
        <f ca="1">AJ18</f>
        <v>1e</v>
      </c>
      <c r="AK19" s="12"/>
      <c r="AL19" s="12"/>
      <c r="AM19" s="12"/>
      <c r="AN19" s="9"/>
      <c r="AO19" s="30" t="str">
        <f ca="1">AO18</f>
        <v>49</v>
      </c>
      <c r="AP19" s="12"/>
      <c r="AQ19" s="12"/>
      <c r="AR19" s="12"/>
      <c r="AS19" s="8"/>
      <c r="AT19" s="30" t="str">
        <f ca="1">AT18</f>
        <v>45</v>
      </c>
      <c r="AU19" s="12"/>
      <c r="AV19" s="12"/>
      <c r="AW19" s="12"/>
      <c r="AY19" s="30" t="str">
        <f ca="1">AY18</f>
        <v>7f</v>
      </c>
      <c r="AZ19" s="12"/>
      <c r="BA19" s="12"/>
      <c r="BB19" s="12"/>
      <c r="BC19" s="9"/>
      <c r="BD19" s="30" t="str">
        <f ca="1">BD18</f>
        <v>77</v>
      </c>
      <c r="BE19" s="12"/>
      <c r="BF19" s="12"/>
      <c r="BG19" s="12"/>
    </row>
    <row r="20" spans="3:59" x14ac:dyDescent="0.4">
      <c r="C20" s="5">
        <v>2</v>
      </c>
      <c r="D20" s="12" t="str" cm="1">
        <f t="array" aca="1" ref="D20" ca="1">INDEX('S-box'!$D$5:$S$20,HEX2DEC(LEFT(P12,1))+1, HEX2DEC(RIGHT(P12,1))+1)</f>
        <v>11</v>
      </c>
      <c r="E20" s="12" t="str" cm="1">
        <f t="array" aca="1" ref="E20" ca="1">INDEX('S-box'!$D$5:$S$20,HEX2DEC(LEFT(Q12,1))+1, HEX2DEC(RIGHT(Q12,1))+1)</f>
        <v>98</v>
      </c>
      <c r="F20" s="12" t="str" cm="1">
        <f t="array" aca="1" ref="F20" ca="1">INDEX('S-box'!$D$5:$S$20,HEX2DEC(LEFT(R12,1))+1, HEX2DEC(RIGHT(R12,1))+1)</f>
        <v>5d</v>
      </c>
      <c r="G20" s="12" t="str" cm="1">
        <f t="array" aca="1" ref="G20" ca="1">INDEX('S-box'!$D$5:$S$20,HEX2DEC(LEFT(S12,1))+1, HEX2DEC(RIGHT(S12,1))+1)</f>
        <v>52</v>
      </c>
      <c r="I20" s="5">
        <v>2</v>
      </c>
      <c r="J20" s="12" t="str">
        <f ca="1">F20</f>
        <v>5d</v>
      </c>
      <c r="K20" s="12" t="str">
        <f ca="1">G20</f>
        <v>52</v>
      </c>
      <c r="L20" s="12" t="str">
        <f ca="1">D20</f>
        <v>11</v>
      </c>
      <c r="M20" s="12" t="str">
        <f ca="1">E20</f>
        <v>98</v>
      </c>
      <c r="O20" s="5">
        <v>2</v>
      </c>
      <c r="P20" s="12" t="str">
        <f ca="1">W44</f>
        <v>81</v>
      </c>
      <c r="Q20" s="12" t="str">
        <f ca="1">AB44</f>
        <v>19</v>
      </c>
      <c r="R20" s="12" t="str">
        <f ca="1">AG44</f>
        <v>d3</v>
      </c>
      <c r="S20" s="12" t="str">
        <f ca="1">AL44</f>
        <v>26</v>
      </c>
      <c r="U20" s="12" t="str">
        <f ca="1">IF(HEX2DEC(U19)&gt;127,DEC2HEX(_xlfn.BITXOR(_xlfn.BITLSHIFT(HEX2DEC(U19)-128,1),HEX2DEC("1B"))),DEC2HEX(_xlfn.BITLSHIFT(HEX2DEC(U19),1)))</f>
        <v>B3</v>
      </c>
      <c r="V20" s="12"/>
      <c r="W20" s="12"/>
      <c r="X20" s="12"/>
      <c r="Y20" s="8"/>
      <c r="Z20" s="12" t="str">
        <f ca="1">IF(HEX2DEC(Z19)&gt;127,DEC2HEX(_xlfn.BITXOR(_xlfn.BITLSHIFT(HEX2DEC(Z19)-128,1),HEX2DEC("1B"))),DEC2HEX(_xlfn.BITLSHIFT(HEX2DEC(Z19),1)))</f>
        <v>DB</v>
      </c>
      <c r="AA20" s="12"/>
      <c r="AB20" s="12"/>
      <c r="AC20" s="12"/>
      <c r="AE20" s="12" t="str">
        <f ca="1">IF(HEX2DEC(AE19)&gt;127,DEC2HEX(_xlfn.BITXOR(_xlfn.BITLSHIFT(HEX2DEC(AE19)-128,1),HEX2DEC("1B"))),DEC2HEX(_xlfn.BITLSHIFT(HEX2DEC(AE19),1)))</f>
        <v>6B</v>
      </c>
      <c r="AF20" s="12"/>
      <c r="AG20" s="12"/>
      <c r="AH20" s="12"/>
      <c r="AI20" s="9"/>
      <c r="AJ20" s="12" t="str">
        <f ca="1">IF(HEX2DEC(AJ19)&gt;127,DEC2HEX(_xlfn.BITXOR(_xlfn.BITLSHIFT(HEX2DEC(AJ19)-128,1),HEX2DEC("1B"))),DEC2HEX(_xlfn.BITLSHIFT(HEX2DEC(AJ19),1)))</f>
        <v>3C</v>
      </c>
      <c r="AK20" s="12"/>
      <c r="AL20" s="12"/>
      <c r="AM20" s="12"/>
      <c r="AN20" s="9"/>
      <c r="AO20" s="12" t="str">
        <f ca="1">IF(HEX2DEC(AO19)&gt;127,DEC2HEX(_xlfn.BITXOR(_xlfn.BITLSHIFT(HEX2DEC(AO19)-128,1),HEX2DEC("1B"))),DEC2HEX(_xlfn.BITLSHIFT(HEX2DEC(AO19),1)))</f>
        <v>92</v>
      </c>
      <c r="AP20" s="12"/>
      <c r="AQ20" s="12"/>
      <c r="AR20" s="12"/>
      <c r="AS20" s="8"/>
      <c r="AT20" s="12" t="str">
        <f ca="1">IF(HEX2DEC(AT19)&gt;127,DEC2HEX(_xlfn.BITXOR(_xlfn.BITLSHIFT(HEX2DEC(AT19)-128,1),HEX2DEC("1B"))),DEC2HEX(_xlfn.BITLSHIFT(HEX2DEC(AT19),1)))</f>
        <v>8A</v>
      </c>
      <c r="AU20" s="12"/>
      <c r="AV20" s="12"/>
      <c r="AW20" s="12"/>
      <c r="AY20" s="12" t="str">
        <f ca="1">IF(HEX2DEC(AY19)&gt;127,DEC2HEX(_xlfn.BITXOR(_xlfn.BITLSHIFT(HEX2DEC(AY19)-128,1),HEX2DEC("1B"))),DEC2HEX(_xlfn.BITLSHIFT(HEX2DEC(AY19),1)))</f>
        <v>FE</v>
      </c>
      <c r="AZ20" s="12"/>
      <c r="BA20" s="12"/>
      <c r="BB20" s="12"/>
      <c r="BC20" s="9"/>
      <c r="BD20" s="12" t="str">
        <f ca="1">IF(HEX2DEC(BD19)&gt;127,DEC2HEX(_xlfn.BITXOR(_xlfn.BITLSHIFT(HEX2DEC(BD19)-128,1),HEX2DEC("1B"))),DEC2HEX(_xlfn.BITLSHIFT(HEX2DEC(BD19),1)))</f>
        <v>EE</v>
      </c>
      <c r="BE20" s="12"/>
      <c r="BF20" s="12"/>
      <c r="BG20" s="12"/>
    </row>
    <row r="21" spans="3:59" x14ac:dyDescent="0.4">
      <c r="C21" s="1">
        <v>3</v>
      </c>
      <c r="D21" s="12" t="str" cm="1">
        <f t="array" aca="1" ref="D21" ca="1">INDEX('S-box'!$D$5:$S$20,HEX2DEC(LEFT(P13,1))+1, HEX2DEC(RIGHT(P13,1))+1)</f>
        <v>ae</v>
      </c>
      <c r="E21" s="12" t="str" cm="1">
        <f t="array" aca="1" ref="E21" ca="1">INDEX('S-box'!$D$5:$S$20,HEX2DEC(LEFT(Q13,1))+1, HEX2DEC(RIGHT(Q13,1))+1)</f>
        <v>f1</v>
      </c>
      <c r="F21" s="12" t="str" cm="1">
        <f t="array" aca="1" ref="F21" ca="1">INDEX('S-box'!$D$5:$S$20,HEX2DEC(LEFT(R13,1))+1, HEX2DEC(RIGHT(R13,1))+1)</f>
        <v>e5</v>
      </c>
      <c r="G21" s="12" t="str" cm="1">
        <f t="array" aca="1" ref="G21" ca="1">INDEX('S-box'!$D$5:$S$20,HEX2DEC(LEFT(S13,1))+1, HEX2DEC(RIGHT(S13,1))+1)</f>
        <v>30</v>
      </c>
      <c r="I21" s="1">
        <v>3</v>
      </c>
      <c r="J21" s="12" t="str">
        <f ca="1">G21</f>
        <v>30</v>
      </c>
      <c r="K21" s="12" t="str">
        <f ca="1">D21</f>
        <v>ae</v>
      </c>
      <c r="L21" s="12" t="str">
        <f ca="1">E21</f>
        <v>f1</v>
      </c>
      <c r="M21" s="12" t="str">
        <f ca="1">F21</f>
        <v>e5</v>
      </c>
      <c r="O21" s="1">
        <v>3</v>
      </c>
      <c r="P21" s="12" t="str">
        <f ca="1">X53</f>
        <v>e5</v>
      </c>
      <c r="Q21" s="12" t="str">
        <f ca="1">AC53</f>
        <v>9a</v>
      </c>
      <c r="R21" s="12" t="str">
        <f ca="1">AH53</f>
        <v>7a</v>
      </c>
      <c r="S21" s="12" t="str">
        <f ca="1">AM53</f>
        <v>4c</v>
      </c>
      <c r="U21" s="12"/>
      <c r="V21" s="30" t="str">
        <f ca="1">V18</f>
        <v>bf</v>
      </c>
      <c r="W21" s="12"/>
      <c r="X21" s="12"/>
      <c r="Y21" s="8"/>
      <c r="Z21" s="12"/>
      <c r="AA21" s="30" t="str">
        <f ca="1">AA18</f>
        <v>b4</v>
      </c>
      <c r="AB21" s="12"/>
      <c r="AC21" s="12"/>
      <c r="AE21" s="12"/>
      <c r="AF21" s="30" t="str">
        <f ca="1">AF18</f>
        <v>41</v>
      </c>
      <c r="AG21" s="12"/>
      <c r="AH21" s="12"/>
      <c r="AI21" s="9"/>
      <c r="AJ21" s="12"/>
      <c r="AK21" s="30" t="str">
        <f ca="1">AK18</f>
        <v>27</v>
      </c>
      <c r="AL21" s="12"/>
      <c r="AM21" s="12"/>
      <c r="AN21" s="9"/>
      <c r="AO21" s="12"/>
      <c r="AP21" s="30" t="str">
        <f ca="1">AP18</f>
        <v>db</v>
      </c>
      <c r="AQ21" s="12"/>
      <c r="AR21" s="12"/>
      <c r="AS21" s="8"/>
      <c r="AT21" s="12"/>
      <c r="AU21" s="30" t="str">
        <f ca="1">AU18</f>
        <v>39</v>
      </c>
      <c r="AV21" s="12"/>
      <c r="AW21" s="12"/>
      <c r="AY21" s="12"/>
      <c r="AZ21" s="30" t="str">
        <f ca="1">AZ18</f>
        <v>02</v>
      </c>
      <c r="BA21" s="12"/>
      <c r="BB21" s="12"/>
      <c r="BC21" s="9"/>
      <c r="BD21" s="12"/>
      <c r="BE21" s="30" t="str">
        <f ca="1">BE18</f>
        <v>de</v>
      </c>
      <c r="BF21" s="12"/>
      <c r="BG21" s="12"/>
    </row>
    <row r="22" spans="3:59" x14ac:dyDescent="0.4">
      <c r="U22" s="12"/>
      <c r="V22" s="12" t="str">
        <f ca="1">IF(HEX2DEC(V21)&gt;127,DEC2HEX(_xlfn.BITXOR(_xlfn.BITLSHIFT(HEX2DEC(V21)-128,1),HEX2DEC("1B"))),DEC2HEX(_xlfn.BITLSHIFT(HEX2DEC(V21),1)))</f>
        <v>65</v>
      </c>
      <c r="W22" s="12"/>
      <c r="X22" s="12"/>
      <c r="Y22" s="8"/>
      <c r="Z22" s="12"/>
      <c r="AA22" s="12" t="str">
        <f ca="1">IF(HEX2DEC(AA21)&gt;127,DEC2HEX(_xlfn.BITXOR(_xlfn.BITLSHIFT(HEX2DEC(AA21)-128,1),HEX2DEC("1B"))),DEC2HEX(_xlfn.BITLSHIFT(HEX2DEC(AA21),1)))</f>
        <v>73</v>
      </c>
      <c r="AB22" s="12"/>
      <c r="AC22" s="12"/>
      <c r="AE22" s="12"/>
      <c r="AF22" s="12" t="str">
        <f ca="1">IF(HEX2DEC(AF21)&gt;127,DEC2HEX(_xlfn.BITXOR(_xlfn.BITLSHIFT(HEX2DEC(AF21)-128,1),HEX2DEC("1B"))),DEC2HEX(_xlfn.BITLSHIFT(HEX2DEC(AF21),1)))</f>
        <v>82</v>
      </c>
      <c r="AG22" s="12"/>
      <c r="AH22" s="12"/>
      <c r="AI22" s="9"/>
      <c r="AJ22" s="12"/>
      <c r="AK22" s="12" t="str">
        <f ca="1">IF(HEX2DEC(AK21)&gt;127,DEC2HEX(_xlfn.BITXOR(_xlfn.BITLSHIFT(HEX2DEC(AK21)-128,1),HEX2DEC("1B"))),DEC2HEX(_xlfn.BITLSHIFT(HEX2DEC(AK21),1)))</f>
        <v>4E</v>
      </c>
      <c r="AL22" s="12"/>
      <c r="AM22" s="12"/>
      <c r="AN22" s="9"/>
      <c r="AO22" s="12"/>
      <c r="AP22" s="12" t="str">
        <f ca="1">IF(HEX2DEC(AP21)&gt;127,DEC2HEX(_xlfn.BITXOR(_xlfn.BITLSHIFT(HEX2DEC(AP21)-128,1),HEX2DEC("1B"))),DEC2HEX(_xlfn.BITLSHIFT(HEX2DEC(AP21),1)))</f>
        <v>AD</v>
      </c>
      <c r="AQ22" s="12"/>
      <c r="AR22" s="12"/>
      <c r="AS22" s="8"/>
      <c r="AT22" s="12"/>
      <c r="AU22" s="12" t="str">
        <f ca="1">IF(HEX2DEC(AU21)&gt;127,DEC2HEX(_xlfn.BITXOR(_xlfn.BITLSHIFT(HEX2DEC(AU21)-128,1),HEX2DEC("1B"))),DEC2HEX(_xlfn.BITLSHIFT(HEX2DEC(AU21),1)))</f>
        <v>72</v>
      </c>
      <c r="AV22" s="12"/>
      <c r="AW22" s="12"/>
      <c r="AY22" s="12"/>
      <c r="AZ22" s="12" t="str">
        <f ca="1">IF(HEX2DEC(AZ21)&gt;127,DEC2HEX(_xlfn.BITXOR(_xlfn.BITLSHIFT(HEX2DEC(AZ21)-128,1),HEX2DEC("1B"))),DEC2HEX(_xlfn.BITLSHIFT(HEX2DEC(AZ21),1)))</f>
        <v>4</v>
      </c>
      <c r="BA22" s="12"/>
      <c r="BB22" s="12"/>
      <c r="BC22" s="9"/>
      <c r="BD22" s="12"/>
      <c r="BE22" s="12" t="str">
        <f ca="1">IF(HEX2DEC(BE21)&gt;127,DEC2HEX(_xlfn.BITXOR(_xlfn.BITLSHIFT(HEX2DEC(BE21)-128,1),HEX2DEC("1B"))),DEC2HEX(_xlfn.BITLSHIFT(HEX2DEC(BE21),1)))</f>
        <v>A7</v>
      </c>
      <c r="BF22" s="12"/>
      <c r="BG22" s="12"/>
    </row>
    <row r="23" spans="3:59" ht="24" x14ac:dyDescent="0.4">
      <c r="C23" s="19" t="s">
        <v>341</v>
      </c>
      <c r="I23" s="19" t="s">
        <v>22</v>
      </c>
      <c r="U23" s="12"/>
      <c r="V23" s="12" t="str">
        <f ca="1">DEC2HEX(_xlfn.BITXOR(HEX2DEC(V21),HEX2DEC(V22)))</f>
        <v>DA</v>
      </c>
      <c r="W23" s="12"/>
      <c r="X23" s="12"/>
      <c r="Y23" s="8"/>
      <c r="Z23" s="12"/>
      <c r="AA23" s="12" t="str">
        <f ca="1">DEC2HEX(_xlfn.BITXOR(HEX2DEC(AA21),HEX2DEC(AA22)))</f>
        <v>C7</v>
      </c>
      <c r="AB23" s="12"/>
      <c r="AC23" s="12"/>
      <c r="AE23" s="12"/>
      <c r="AF23" s="12" t="str">
        <f ca="1">DEC2HEX(_xlfn.BITXOR(HEX2DEC(AF21),HEX2DEC(AF22)))</f>
        <v>C3</v>
      </c>
      <c r="AG23" s="12"/>
      <c r="AH23" s="12"/>
      <c r="AI23" s="9"/>
      <c r="AJ23" s="12"/>
      <c r="AK23" s="12" t="str">
        <f ca="1">DEC2HEX(_xlfn.BITXOR(HEX2DEC(AK21),HEX2DEC(AK22)))</f>
        <v>69</v>
      </c>
      <c r="AL23" s="12"/>
      <c r="AM23" s="12"/>
      <c r="AN23" s="9"/>
      <c r="AO23" s="12"/>
      <c r="AP23" s="12" t="str">
        <f ca="1">DEC2HEX(_xlfn.BITXOR(HEX2DEC(AP21),HEX2DEC(AP22)))</f>
        <v>76</v>
      </c>
      <c r="AQ23" s="12"/>
      <c r="AR23" s="12"/>
      <c r="AS23" s="8"/>
      <c r="AT23" s="12"/>
      <c r="AU23" s="12" t="str">
        <f ca="1">DEC2HEX(_xlfn.BITXOR(HEX2DEC(AU21),HEX2DEC(AU22)))</f>
        <v>4B</v>
      </c>
      <c r="AV23" s="12"/>
      <c r="AW23" s="12"/>
      <c r="AY23" s="12"/>
      <c r="AZ23" s="12" t="str">
        <f ca="1">DEC2HEX(_xlfn.BITXOR(HEX2DEC(AZ21),HEX2DEC(AZ22)))</f>
        <v>6</v>
      </c>
      <c r="BA23" s="12"/>
      <c r="BB23" s="12"/>
      <c r="BC23" s="9"/>
      <c r="BD23" s="12"/>
      <c r="BE23" s="12" t="str">
        <f ca="1">DEC2HEX(_xlfn.BITXOR(HEX2DEC(BE21),HEX2DEC(BE22)))</f>
        <v>79</v>
      </c>
      <c r="BF23" s="12"/>
      <c r="BG23" s="12"/>
    </row>
    <row r="24" spans="3:59" x14ac:dyDescent="0.4">
      <c r="C24" s="5"/>
      <c r="D24" s="1">
        <v>0</v>
      </c>
      <c r="E24" s="1">
        <v>1</v>
      </c>
      <c r="F24" s="1">
        <v>2</v>
      </c>
      <c r="G24" s="1">
        <v>3</v>
      </c>
      <c r="I24" s="5"/>
      <c r="J24" s="1">
        <v>0</v>
      </c>
      <c r="K24" s="1">
        <v>1</v>
      </c>
      <c r="L24" s="1">
        <v>2</v>
      </c>
      <c r="M24" s="1">
        <v>3</v>
      </c>
      <c r="U24" s="12"/>
      <c r="V24" s="12"/>
      <c r="W24" s="30" t="str">
        <f ca="1">W18</f>
        <v>5d</v>
      </c>
      <c r="X24" s="12"/>
      <c r="Y24" s="8"/>
      <c r="Z24" s="12"/>
      <c r="AA24" s="12"/>
      <c r="AB24" s="30" t="str">
        <f ca="1">AB18</f>
        <v>52</v>
      </c>
      <c r="AC24" s="12"/>
      <c r="AE24" s="12"/>
      <c r="AF24" s="12"/>
      <c r="AG24" s="30" t="str">
        <f ca="1">AG18</f>
        <v>11</v>
      </c>
      <c r="AH24" s="12"/>
      <c r="AI24" s="9"/>
      <c r="AJ24" s="12"/>
      <c r="AK24" s="12"/>
      <c r="AL24" s="30" t="str">
        <f ca="1">AL18</f>
        <v>98</v>
      </c>
      <c r="AM24" s="12"/>
      <c r="AN24" s="9"/>
      <c r="AO24" s="12"/>
      <c r="AP24" s="12"/>
      <c r="AQ24" s="30" t="str">
        <f ca="1">AQ18</f>
        <v>87</v>
      </c>
      <c r="AR24" s="12"/>
      <c r="AS24" s="8"/>
      <c r="AT24" s="12"/>
      <c r="AU24" s="12"/>
      <c r="AV24" s="30" t="str">
        <f ca="1">AV18</f>
        <v>53</v>
      </c>
      <c r="AW24" s="12"/>
      <c r="AY24" s="12"/>
      <c r="AZ24" s="12"/>
      <c r="BA24" s="30" t="str">
        <f ca="1">BA18</f>
        <v>d2</v>
      </c>
      <c r="BB24" s="12"/>
      <c r="BC24" s="9"/>
      <c r="BD24" s="12"/>
      <c r="BE24" s="12"/>
      <c r="BF24" s="30" t="str">
        <f ca="1">BF18</f>
        <v>96</v>
      </c>
      <c r="BG24" s="12"/>
    </row>
    <row r="25" spans="3:59" x14ac:dyDescent="0.4">
      <c r="C25" s="5">
        <v>0</v>
      </c>
      <c r="D25" s="12" t="str">
        <f>'키생성과정(Key Scheduling)'!D17</f>
        <v>a0</v>
      </c>
      <c r="E25" s="12" t="str">
        <f>'키생성과정(Key Scheduling)'!E17</f>
        <v>88</v>
      </c>
      <c r="F25" s="12" t="str">
        <f>'키생성과정(Key Scheduling)'!F17</f>
        <v>23</v>
      </c>
      <c r="G25" s="12" t="str">
        <f>'키생성과정(Key Scheduling)'!G17</f>
        <v>2a</v>
      </c>
      <c r="I25" s="5">
        <v>0</v>
      </c>
      <c r="J25" s="1" t="str">
        <f t="shared" ref="J25:L28" ca="1" si="3">LOWER(DEC2HEX(_xlfn.BITXOR(HEX2DEC(P18),HEX2DEC(D25))))</f>
        <v>a4</v>
      </c>
      <c r="K25" s="1" t="str">
        <f t="shared" ca="1" si="3"/>
        <v>68</v>
      </c>
      <c r="L25" s="1" t="str">
        <f t="shared" ca="1" si="3"/>
        <v>6b</v>
      </c>
      <c r="M25" s="1" t="str">
        <f ca="1">IF(LEN(DEC2HEX(_xlfn.BITXOR(HEX2DEC(S18),HEX2DEC(G25))))=1, "0"&amp;DEC2HEX(_xlfn.BITXOR(HEX2DEC(S18),HEX2DEC(G25))), DEC2HEX(_xlfn.BITXOR(HEX2DEC(S18),HEX2DEC(G25))))</f>
        <v>02</v>
      </c>
      <c r="U25" s="12"/>
      <c r="V25" s="12"/>
      <c r="W25" s="12"/>
      <c r="X25" s="30" t="str">
        <f ca="1">X18</f>
        <v>30</v>
      </c>
      <c r="Y25" s="8"/>
      <c r="Z25" s="12"/>
      <c r="AA25" s="12"/>
      <c r="AB25" s="12"/>
      <c r="AC25" s="30" t="str">
        <f ca="1">AC18</f>
        <v>ae</v>
      </c>
      <c r="AE25" s="12"/>
      <c r="AF25" s="12"/>
      <c r="AG25" s="12"/>
      <c r="AH25" s="30" t="str">
        <f ca="1">AH18</f>
        <v>f1</v>
      </c>
      <c r="AI25" s="9"/>
      <c r="AJ25" s="12"/>
      <c r="AK25" s="12"/>
      <c r="AL25" s="12"/>
      <c r="AM25" s="30" t="str">
        <f ca="1">AM18</f>
        <v>e5</v>
      </c>
      <c r="AN25" s="9"/>
      <c r="AO25" s="12"/>
      <c r="AP25" s="12"/>
      <c r="AQ25" s="12"/>
      <c r="AR25" s="30" t="str">
        <f ca="1">AR18</f>
        <v>3b</v>
      </c>
      <c r="AS25" s="8"/>
      <c r="AT25" s="12"/>
      <c r="AU25" s="12"/>
      <c r="AV25" s="12"/>
      <c r="AW25" s="30" t="str">
        <f ca="1">AW18</f>
        <v>89</v>
      </c>
      <c r="AY25" s="12"/>
      <c r="AZ25" s="12"/>
      <c r="BA25" s="12"/>
      <c r="BB25" s="30" t="str">
        <f ca="1">BB18</f>
        <v>f1</v>
      </c>
      <c r="BC25" s="9"/>
      <c r="BD25" s="12"/>
      <c r="BE25" s="12"/>
      <c r="BF25" s="12"/>
      <c r="BG25" s="30" t="str">
        <f ca="1">BG18</f>
        <v>1a</v>
      </c>
    </row>
    <row r="26" spans="3:59" x14ac:dyDescent="0.4">
      <c r="C26" s="5">
        <v>1</v>
      </c>
      <c r="D26" s="12" t="str">
        <f>'키생성과정(Key Scheduling)'!D18</f>
        <v>fa</v>
      </c>
      <c r="E26" s="12" t="str">
        <f>'키생성과정(Key Scheduling)'!E18</f>
        <v>54</v>
      </c>
      <c r="F26" s="12" t="str">
        <f>'키생성과정(Key Scheduling)'!F18</f>
        <v>a3</v>
      </c>
      <c r="G26" s="12" t="str">
        <f>'키생성과정(Key Scheduling)'!G18</f>
        <v>6c</v>
      </c>
      <c r="I26" s="5">
        <v>1</v>
      </c>
      <c r="J26" s="1" t="str">
        <f t="shared" ca="1" si="3"/>
        <v>9c</v>
      </c>
      <c r="K26" s="1" t="str">
        <f t="shared" ca="1" si="3"/>
        <v>9f</v>
      </c>
      <c r="L26" s="1" t="str">
        <f t="shared" ca="1" si="3"/>
        <v>5b</v>
      </c>
      <c r="M26" s="1" t="str">
        <f ca="1">LOWER(DEC2HEX(_xlfn.BITXOR(HEX2DEC(S19),HEX2DEC(G26))))</f>
        <v>6a</v>
      </c>
      <c r="U26" s="33" t="str">
        <f ca="1">IF(LEN(DEC2HEX(_xlfn.BITXOR(_xlfn.BITXOR(_xlfn.BITXOR(HEX2DEC(U$20),HEX2DEC(V$23)),HEX2DEC(W$24)),HEX2DEC(X$25))))=1, "0"&amp;DEC2HEX(_xlfn.BITXOR(_xlfn.BITXOR(_xlfn.BITXOR(HEX2DEC(U$20),HEX2DEC(V$23)),HEX2DEC(W$24)),HEX2DEC(X$25))), DEC2HEX(_xlfn.BITXOR(_xlfn.BITXOR(_xlfn.BITXOR(HEX2DEC(U$20),HEX2DEC(V$23)),HEX2DEC(W$24)),HEX2DEC(X$25))))</f>
        <v>04</v>
      </c>
      <c r="V26" s="31"/>
      <c r="W26" s="31"/>
      <c r="X26" s="31"/>
      <c r="Y26" s="32"/>
      <c r="Z26" s="33" t="str">
        <f ca="1">LOWER(DEC2HEX(_xlfn.BITXOR(_xlfn.BITXOR(_xlfn.BITXOR(HEX2DEC(Z20),HEX2DEC(AA23)),HEX2DEC(AB24)),HEX2DEC(AC25))))</f>
        <v>e0</v>
      </c>
      <c r="AA26" s="31"/>
      <c r="AB26" s="31"/>
      <c r="AC26" s="31"/>
      <c r="AE26" s="33" t="str">
        <f ca="1">DEC2HEX(_xlfn.BITXOR(_xlfn.BITXOR(_xlfn.BITXOR(HEX2DEC(AE20),HEX2DEC(AF23)),HEX2DEC(AG24)),HEX2DEC(AH25)))</f>
        <v>48</v>
      </c>
      <c r="AF26" s="31"/>
      <c r="AG26" s="31"/>
      <c r="AH26" s="31"/>
      <c r="AI26" s="9"/>
      <c r="AJ26" s="33" t="str">
        <f ca="1">DEC2HEX(_xlfn.BITXOR(_xlfn.BITXOR(_xlfn.BITXOR(HEX2DEC(AJ20),HEX2DEC(AK23)),HEX2DEC(AL24)),HEX2DEC(AM25)))</f>
        <v>28</v>
      </c>
      <c r="AK26" s="31"/>
      <c r="AL26" s="31"/>
      <c r="AM26" s="31"/>
      <c r="AN26" s="9"/>
      <c r="AO26" s="33" t="str">
        <f ca="1">IF(LEN(DEC2HEX(_xlfn.BITXOR(_xlfn.BITXOR(_xlfn.BITXOR(HEX2DEC(AO$20),HEX2DEC(AP$23)),HEX2DEC(AQ$24)),HEX2DEC(AR$25))))=1, "0"&amp;DEC2HEX(_xlfn.BITXOR(_xlfn.BITXOR(_xlfn.BITXOR(HEX2DEC(AO$20),HEX2DEC(AP$23)),HEX2DEC(AQ$24)),HEX2DEC(AR$25))), DEC2HEX(_xlfn.BITXOR(_xlfn.BITXOR(_xlfn.BITXOR(HEX2DEC(AO$20),HEX2DEC(AP$23)),HEX2DEC(AQ$24)),HEX2DEC(AR$25))))</f>
        <v>58</v>
      </c>
      <c r="AP26" s="31"/>
      <c r="AQ26" s="31"/>
      <c r="AR26" s="31"/>
      <c r="AS26" s="32"/>
      <c r="AT26" s="33" t="str">
        <f ca="1">LOWER(DEC2HEX(_xlfn.BITXOR(_xlfn.BITXOR(_xlfn.BITXOR(HEX2DEC(AT20),HEX2DEC(AU23)),HEX2DEC(AV24)),HEX2DEC(AW25))))</f>
        <v>1b</v>
      </c>
      <c r="AU26" s="31"/>
      <c r="AV26" s="31"/>
      <c r="AW26" s="31"/>
      <c r="AY26" s="33" t="str">
        <f ca="1">LOWER(DEC2HEX(_xlfn.BITXOR(_xlfn.BITXOR(_xlfn.BITXOR(HEX2DEC(AY20),HEX2DEC(AZ23)),HEX2DEC(BA24)),HEX2DEC(BB25))))</f>
        <v>db</v>
      </c>
      <c r="AZ26" s="31"/>
      <c r="BA26" s="31"/>
      <c r="BB26" s="31"/>
      <c r="BC26" s="9"/>
      <c r="BD26" s="33" t="str">
        <f ca="1">DEC2HEX(_xlfn.BITXOR(_xlfn.BITXOR(_xlfn.BITXOR(HEX2DEC(BD20),HEX2DEC(BE23)),HEX2DEC(BF24)),HEX2DEC(BG25)))</f>
        <v>1B</v>
      </c>
      <c r="BE26" s="31"/>
      <c r="BF26" s="31"/>
      <c r="BG26" s="31"/>
    </row>
    <row r="27" spans="3:59" x14ac:dyDescent="0.4">
      <c r="C27" s="5">
        <v>2</v>
      </c>
      <c r="D27" s="12" t="str">
        <f>'키생성과정(Key Scheduling)'!D19</f>
        <v>fe</v>
      </c>
      <c r="E27" s="12" t="str">
        <f>'키생성과정(Key Scheduling)'!E19</f>
        <v>2c</v>
      </c>
      <c r="F27" s="12" t="str">
        <f>'키생성과정(Key Scheduling)'!F19</f>
        <v>39</v>
      </c>
      <c r="G27" s="12" t="str">
        <f>'키생성과정(Key Scheduling)'!G19</f>
        <v>76</v>
      </c>
      <c r="I27" s="5">
        <v>2</v>
      </c>
      <c r="J27" s="1" t="str">
        <f t="shared" ca="1" si="3"/>
        <v>7f</v>
      </c>
      <c r="K27" s="1" t="str">
        <f t="shared" ca="1" si="3"/>
        <v>35</v>
      </c>
      <c r="L27" s="1" t="str">
        <f t="shared" ca="1" si="3"/>
        <v>ea</v>
      </c>
      <c r="M27" s="1" t="str">
        <f ca="1">LOWER(DEC2HEX(_xlfn.BITXOR(HEX2DEC(S20),HEX2DEC(G27))))</f>
        <v>50</v>
      </c>
      <c r="U27" s="30" t="str">
        <f ca="1">$J$18</f>
        <v>d4</v>
      </c>
      <c r="V27" s="30" t="str">
        <f ca="1">$J$19</f>
        <v>bf</v>
      </c>
      <c r="W27" s="30" t="str">
        <f ca="1">$J$20</f>
        <v>5d</v>
      </c>
      <c r="X27" s="30" t="str">
        <f ca="1">$J$21</f>
        <v>30</v>
      </c>
      <c r="Y27" s="28"/>
      <c r="Z27" s="30" t="str">
        <f ca="1">$K$18</f>
        <v>e0</v>
      </c>
      <c r="AA27" s="30" t="str">
        <f ca="1">$K$19</f>
        <v>b4</v>
      </c>
      <c r="AB27" s="30" t="str">
        <f ca="1">$K$20</f>
        <v>52</v>
      </c>
      <c r="AC27" s="30" t="str">
        <f ca="1">$K$21</f>
        <v>ae</v>
      </c>
      <c r="AE27" s="30" t="str">
        <f ca="1">$L$18</f>
        <v>b8</v>
      </c>
      <c r="AF27" s="30" t="str">
        <f ca="1">$L$19</f>
        <v>41</v>
      </c>
      <c r="AG27" s="30" t="str">
        <f ca="1">$L$20</f>
        <v>11</v>
      </c>
      <c r="AH27" s="30" t="str">
        <f ca="1">$L$21</f>
        <v>f1</v>
      </c>
      <c r="AI27" s="9"/>
      <c r="AJ27" s="30" t="str">
        <f ca="1">$M$18</f>
        <v>1e</v>
      </c>
      <c r="AK27" s="30" t="str">
        <f ca="1">$M$19</f>
        <v>27</v>
      </c>
      <c r="AL27" s="30" t="str">
        <f ca="1">$M$20</f>
        <v>98</v>
      </c>
      <c r="AM27" s="30" t="str">
        <f ca="1">$M$21</f>
        <v>e5</v>
      </c>
      <c r="AN27" s="9"/>
      <c r="AO27" s="30" t="str">
        <f ca="1">$J$33</f>
        <v>49</v>
      </c>
      <c r="AP27" s="30" t="str">
        <f ca="1">$J$34</f>
        <v>db</v>
      </c>
      <c r="AQ27" s="30" t="str">
        <f ca="1">$J$35</f>
        <v>87</v>
      </c>
      <c r="AR27" s="30" t="str">
        <f ca="1">$J$36</f>
        <v>3b</v>
      </c>
      <c r="AS27" s="28"/>
      <c r="AT27" s="30" t="str">
        <f ca="1">$K$33</f>
        <v>45</v>
      </c>
      <c r="AU27" s="30" t="str">
        <f ca="1">$K$34</f>
        <v>39</v>
      </c>
      <c r="AV27" s="30" t="str">
        <f ca="1">$K$35</f>
        <v>53</v>
      </c>
      <c r="AW27" s="30" t="str">
        <f ca="1">$K$36</f>
        <v>89</v>
      </c>
      <c r="AY27" s="30" t="str">
        <f ca="1">$L$33</f>
        <v>7f</v>
      </c>
      <c r="AZ27" s="30" t="str">
        <f ca="1">$L$34</f>
        <v>02</v>
      </c>
      <c r="BA27" s="30" t="str">
        <f ca="1">$L$35</f>
        <v>d2</v>
      </c>
      <c r="BB27" s="30" t="str">
        <f ca="1">$L$36</f>
        <v>f1</v>
      </c>
      <c r="BC27" s="9"/>
      <c r="BD27" s="30" t="str">
        <f ca="1">$M$33</f>
        <v>77</v>
      </c>
      <c r="BE27" s="30" t="str">
        <f ca="1">$M$34</f>
        <v>de</v>
      </c>
      <c r="BF27" s="30" t="str">
        <f ca="1">$M$35</f>
        <v>96</v>
      </c>
      <c r="BG27" s="30" t="str">
        <f ca="1">$M$36</f>
        <v>1a</v>
      </c>
    </row>
    <row r="28" spans="3:59" x14ac:dyDescent="0.4">
      <c r="C28" s="1">
        <v>3</v>
      </c>
      <c r="D28" s="12" t="str">
        <f>'키생성과정(Key Scheduling)'!D20</f>
        <v>17</v>
      </c>
      <c r="E28" s="12" t="str">
        <f>'키생성과정(Key Scheduling)'!E20</f>
        <v>b1</v>
      </c>
      <c r="F28" s="12" t="str">
        <f>'키생성과정(Key Scheduling)'!F20</f>
        <v>39</v>
      </c>
      <c r="G28" s="12" t="str">
        <f>'키생성과정(Key Scheduling)'!G20</f>
        <v>05</v>
      </c>
      <c r="I28" s="1">
        <v>3</v>
      </c>
      <c r="J28" s="1" t="str">
        <f t="shared" ca="1" si="3"/>
        <v>f2</v>
      </c>
      <c r="K28" s="1" t="str">
        <f t="shared" ca="1" si="3"/>
        <v>2b</v>
      </c>
      <c r="L28" s="1" t="str">
        <f t="shared" ca="1" si="3"/>
        <v>43</v>
      </c>
      <c r="M28" s="1" t="str">
        <f ca="1">LOWER(DEC2HEX(_xlfn.BITXOR(HEX2DEC(S21),HEX2DEC(G28))))</f>
        <v>49</v>
      </c>
      <c r="U28" s="29" t="str">
        <f ca="1">U27</f>
        <v>d4</v>
      </c>
      <c r="V28" s="29"/>
      <c r="W28" s="29"/>
      <c r="X28" s="29"/>
      <c r="Y28" s="28"/>
      <c r="Z28" s="29" t="str">
        <f ca="1">Z27</f>
        <v>e0</v>
      </c>
      <c r="AA28" s="29"/>
      <c r="AB28" s="29"/>
      <c r="AC28" s="29"/>
      <c r="AE28" s="29" t="str">
        <f ca="1">AE27</f>
        <v>b8</v>
      </c>
      <c r="AF28" s="29"/>
      <c r="AG28" s="29"/>
      <c r="AH28" s="29"/>
      <c r="AI28" s="9"/>
      <c r="AJ28" s="29" t="str">
        <f ca="1">AJ27</f>
        <v>1e</v>
      </c>
      <c r="AK28" s="29"/>
      <c r="AL28" s="29"/>
      <c r="AM28" s="29"/>
      <c r="AN28" s="9"/>
      <c r="AO28" s="29" t="str">
        <f ca="1">AO27</f>
        <v>49</v>
      </c>
      <c r="AP28" s="29"/>
      <c r="AQ28" s="29"/>
      <c r="AR28" s="29"/>
      <c r="AS28" s="28"/>
      <c r="AT28" s="29" t="str">
        <f ca="1">AT27</f>
        <v>45</v>
      </c>
      <c r="AU28" s="29"/>
      <c r="AV28" s="29"/>
      <c r="AW28" s="29"/>
      <c r="AY28" s="29" t="str">
        <f ca="1">AY27</f>
        <v>7f</v>
      </c>
      <c r="AZ28" s="29"/>
      <c r="BA28" s="29"/>
      <c r="BB28" s="29"/>
      <c r="BC28" s="9"/>
      <c r="BD28" s="29" t="str">
        <f ca="1">BD27</f>
        <v>77</v>
      </c>
      <c r="BE28" s="29"/>
      <c r="BF28" s="29"/>
      <c r="BG28" s="29"/>
    </row>
    <row r="29" spans="3:59" x14ac:dyDescent="0.4">
      <c r="U29" s="29"/>
      <c r="V29" s="29" t="str">
        <f ca="1">V27</f>
        <v>bf</v>
      </c>
      <c r="W29" s="29"/>
      <c r="X29" s="29"/>
      <c r="Y29" s="28"/>
      <c r="Z29" s="29"/>
      <c r="AA29" s="29" t="str">
        <f ca="1">AA27</f>
        <v>b4</v>
      </c>
      <c r="AB29" s="29"/>
      <c r="AC29" s="29"/>
      <c r="AE29" s="29"/>
      <c r="AF29" s="29" t="str">
        <f ca="1">AF27</f>
        <v>41</v>
      </c>
      <c r="AG29" s="29"/>
      <c r="AH29" s="29"/>
      <c r="AI29" s="9"/>
      <c r="AJ29" s="29"/>
      <c r="AK29" s="29" t="str">
        <f ca="1">AK27</f>
        <v>27</v>
      </c>
      <c r="AL29" s="29"/>
      <c r="AM29" s="29"/>
      <c r="AN29" s="9"/>
      <c r="AO29" s="29"/>
      <c r="AP29" s="29" t="str">
        <f ca="1">AP27</f>
        <v>db</v>
      </c>
      <c r="AQ29" s="29"/>
      <c r="AR29" s="29"/>
      <c r="AS29" s="28"/>
      <c r="AT29" s="29"/>
      <c r="AU29" s="29" t="str">
        <f ca="1">AU27</f>
        <v>39</v>
      </c>
      <c r="AV29" s="29"/>
      <c r="AW29" s="29"/>
      <c r="AY29" s="29"/>
      <c r="AZ29" s="29" t="str">
        <f ca="1">AZ27</f>
        <v>02</v>
      </c>
      <c r="BA29" s="29"/>
      <c r="BB29" s="29"/>
      <c r="BC29" s="9"/>
      <c r="BD29" s="29"/>
      <c r="BE29" s="29" t="str">
        <f ca="1">BE27</f>
        <v>de</v>
      </c>
      <c r="BF29" s="29"/>
      <c r="BG29" s="29"/>
    </row>
    <row r="30" spans="3:59" ht="30.6" x14ac:dyDescent="0.4">
      <c r="C30" s="34" t="s">
        <v>342</v>
      </c>
      <c r="U30" s="29"/>
      <c r="V30" s="12" t="str">
        <f ca="1">IF(HEX2DEC(V29)&gt;127,DEC2HEX(_xlfn.BITXOR(_xlfn.BITLSHIFT(HEX2DEC(V29)-128,1),HEX2DEC("1B"))),DEC2HEX(_xlfn.BITLSHIFT(HEX2DEC(V29),1)))</f>
        <v>65</v>
      </c>
      <c r="W30" s="29"/>
      <c r="X30" s="29"/>
      <c r="Y30" s="28"/>
      <c r="Z30" s="29"/>
      <c r="AA30" s="12" t="str">
        <f ca="1">IF(HEX2DEC(AA29)&gt;127,DEC2HEX(_xlfn.BITXOR(_xlfn.BITLSHIFT(HEX2DEC(AA29)-128,1),HEX2DEC("1B"))),DEC2HEX(_xlfn.BITLSHIFT(HEX2DEC(AA29),1)))</f>
        <v>73</v>
      </c>
      <c r="AB30" s="29"/>
      <c r="AC30" s="29"/>
      <c r="AE30" s="29"/>
      <c r="AF30" s="12" t="str">
        <f ca="1">IF(HEX2DEC(AF29)&gt;127,DEC2HEX(_xlfn.BITXOR(_xlfn.BITLSHIFT(HEX2DEC(AF29)-128,1),HEX2DEC("1B"))),DEC2HEX(_xlfn.BITLSHIFT(HEX2DEC(AF29),1)))</f>
        <v>82</v>
      </c>
      <c r="AG30" s="29"/>
      <c r="AH30" s="29"/>
      <c r="AI30" s="9"/>
      <c r="AJ30" s="29"/>
      <c r="AK30" s="12" t="str">
        <f ca="1">IF(HEX2DEC(AK29)&gt;127,DEC2HEX(_xlfn.BITXOR(_xlfn.BITLSHIFT(HEX2DEC(AK29)-128,1),HEX2DEC("1B"))),DEC2HEX(_xlfn.BITLSHIFT(HEX2DEC(AK29),1)))</f>
        <v>4E</v>
      </c>
      <c r="AL30" s="29"/>
      <c r="AM30" s="29"/>
      <c r="AN30" s="9"/>
      <c r="AO30" s="29"/>
      <c r="AP30" s="12" t="str">
        <f ca="1">IF(HEX2DEC(AP29)&gt;127,DEC2HEX(_xlfn.BITXOR(_xlfn.BITLSHIFT(HEX2DEC(AP29)-128,1),HEX2DEC("1B"))),DEC2HEX(_xlfn.BITLSHIFT(HEX2DEC(AP29),1)))</f>
        <v>AD</v>
      </c>
      <c r="AQ30" s="29"/>
      <c r="AR30" s="29"/>
      <c r="AS30" s="28"/>
      <c r="AT30" s="29"/>
      <c r="AU30" s="12" t="str">
        <f ca="1">IF(HEX2DEC(AU29)&gt;127,DEC2HEX(_xlfn.BITXOR(_xlfn.BITLSHIFT(HEX2DEC(AU29)-128,1),HEX2DEC("1B"))),DEC2HEX(_xlfn.BITLSHIFT(HEX2DEC(AU29),1)))</f>
        <v>72</v>
      </c>
      <c r="AV30" s="29"/>
      <c r="AW30" s="29"/>
      <c r="AY30" s="29"/>
      <c r="AZ30" s="12" t="str">
        <f ca="1">IF(HEX2DEC(AZ29)&gt;127,DEC2HEX(_xlfn.BITXOR(_xlfn.BITLSHIFT(HEX2DEC(AZ29)-128,1),HEX2DEC("1B"))),DEC2HEX(_xlfn.BITLSHIFT(HEX2DEC(AZ29),1)))</f>
        <v>4</v>
      </c>
      <c r="BA30" s="29"/>
      <c r="BB30" s="29"/>
      <c r="BC30" s="9"/>
      <c r="BD30" s="29"/>
      <c r="BE30" s="12" t="str">
        <f ca="1">IF(HEX2DEC(BE29)&gt;127,DEC2HEX(_xlfn.BITXOR(_xlfn.BITLSHIFT(HEX2DEC(BE29)-128,1),HEX2DEC("1B"))),DEC2HEX(_xlfn.BITLSHIFT(HEX2DEC(BE29),1)))</f>
        <v>A7</v>
      </c>
      <c r="BF30" s="29"/>
      <c r="BG30" s="29"/>
    </row>
    <row r="31" spans="3:59" ht="24" x14ac:dyDescent="0.4">
      <c r="C31" s="19" t="s">
        <v>21</v>
      </c>
      <c r="I31" s="19" t="s">
        <v>338</v>
      </c>
      <c r="O31" s="19" t="s">
        <v>339</v>
      </c>
      <c r="U31" s="29"/>
      <c r="V31" s="29"/>
      <c r="W31" s="29" t="str">
        <f ca="1">W27</f>
        <v>5d</v>
      </c>
      <c r="X31" s="29"/>
      <c r="Y31" s="28"/>
      <c r="Z31" s="29"/>
      <c r="AA31" s="29"/>
      <c r="AB31" s="29" t="str">
        <f ca="1">AB27</f>
        <v>52</v>
      </c>
      <c r="AC31" s="29"/>
      <c r="AE31" s="29"/>
      <c r="AF31" s="29"/>
      <c r="AG31" s="29" t="str">
        <f ca="1">AG27</f>
        <v>11</v>
      </c>
      <c r="AH31" s="29"/>
      <c r="AI31" s="9"/>
      <c r="AJ31" s="29"/>
      <c r="AK31" s="29"/>
      <c r="AL31" s="29" t="str">
        <f ca="1">AL27</f>
        <v>98</v>
      </c>
      <c r="AM31" s="29"/>
      <c r="AN31" s="9"/>
      <c r="AO31" s="29"/>
      <c r="AP31" s="29"/>
      <c r="AQ31" s="29" t="str">
        <f ca="1">AQ27</f>
        <v>87</v>
      </c>
      <c r="AR31" s="29"/>
      <c r="AS31" s="28"/>
      <c r="AT31" s="29"/>
      <c r="AU31" s="29"/>
      <c r="AV31" s="29" t="str">
        <f ca="1">AV27</f>
        <v>53</v>
      </c>
      <c r="AW31" s="29"/>
      <c r="AY31" s="29"/>
      <c r="AZ31" s="29"/>
      <c r="BA31" s="29" t="str">
        <f ca="1">BA27</f>
        <v>d2</v>
      </c>
      <c r="BB31" s="29"/>
      <c r="BC31" s="9"/>
      <c r="BD31" s="29"/>
      <c r="BE31" s="29"/>
      <c r="BF31" s="29" t="str">
        <f ca="1">BF27</f>
        <v>96</v>
      </c>
      <c r="BG31" s="29"/>
    </row>
    <row r="32" spans="3:59" x14ac:dyDescent="0.4">
      <c r="C32" s="5"/>
      <c r="D32" s="1">
        <v>0</v>
      </c>
      <c r="E32" s="1">
        <v>1</v>
      </c>
      <c r="F32" s="1">
        <v>2</v>
      </c>
      <c r="G32" s="1">
        <v>3</v>
      </c>
      <c r="I32" s="5"/>
      <c r="J32" s="1">
        <v>0</v>
      </c>
      <c r="K32" s="1">
        <v>1</v>
      </c>
      <c r="L32" s="1">
        <v>2</v>
      </c>
      <c r="M32" s="1">
        <v>3</v>
      </c>
      <c r="O32" s="5"/>
      <c r="P32" s="1">
        <v>0</v>
      </c>
      <c r="Q32" s="1">
        <v>1</v>
      </c>
      <c r="R32" s="1">
        <v>2</v>
      </c>
      <c r="S32" s="1">
        <v>3</v>
      </c>
      <c r="U32" s="29"/>
      <c r="V32" s="29"/>
      <c r="W32" s="12" t="str">
        <f ca="1">IF(HEX2DEC(W31)&gt;127,DEC2HEX(_xlfn.BITXOR(_xlfn.BITLSHIFT(HEX2DEC(W31)-128,1),HEX2DEC("1B"))),DEC2HEX(_xlfn.BITLSHIFT(HEX2DEC(W31),1)))</f>
        <v>BA</v>
      </c>
      <c r="X32" s="29"/>
      <c r="Y32" s="28"/>
      <c r="Z32" s="29"/>
      <c r="AA32" s="29"/>
      <c r="AB32" s="12" t="str">
        <f ca="1">IF(HEX2DEC(AB31)&gt;127,DEC2HEX(_xlfn.BITXOR(_xlfn.BITLSHIFT(HEX2DEC(AB31)-128,1),HEX2DEC("1B"))),DEC2HEX(_xlfn.BITLSHIFT(HEX2DEC(AB31),1)))</f>
        <v>A4</v>
      </c>
      <c r="AC32" s="29"/>
      <c r="AE32" s="29"/>
      <c r="AF32" s="29"/>
      <c r="AG32" s="12" t="str">
        <f ca="1">IF(HEX2DEC(AG31)&gt;127,DEC2HEX(_xlfn.BITXOR(_xlfn.BITLSHIFT(HEX2DEC(AG31)-128,1),HEX2DEC("1B"))),DEC2HEX(_xlfn.BITLSHIFT(HEX2DEC(AG31),1)))</f>
        <v>22</v>
      </c>
      <c r="AH32" s="29"/>
      <c r="AI32" s="9"/>
      <c r="AJ32" s="29"/>
      <c r="AK32" s="29"/>
      <c r="AL32" s="12" t="str">
        <f ca="1">IF(HEX2DEC(AL31)&gt;127,DEC2HEX(_xlfn.BITXOR(_xlfn.BITLSHIFT(HEX2DEC(AL31)-128,1),HEX2DEC("1B"))),DEC2HEX(_xlfn.BITLSHIFT(HEX2DEC(AL31),1)))</f>
        <v>2B</v>
      </c>
      <c r="AM32" s="29"/>
      <c r="AN32" s="9"/>
      <c r="AO32" s="29"/>
      <c r="AP32" s="29"/>
      <c r="AQ32" s="12" t="str">
        <f ca="1">IF(HEX2DEC(AQ31)&gt;127,DEC2HEX(_xlfn.BITXOR(_xlfn.BITLSHIFT(HEX2DEC(AQ31)-128,1),HEX2DEC("1B"))),DEC2HEX(_xlfn.BITLSHIFT(HEX2DEC(AQ31),1)))</f>
        <v>15</v>
      </c>
      <c r="AR32" s="29"/>
      <c r="AS32" s="28"/>
      <c r="AT32" s="29"/>
      <c r="AU32" s="29"/>
      <c r="AV32" s="12" t="str">
        <f ca="1">IF(HEX2DEC(AV31)&gt;127,DEC2HEX(_xlfn.BITXOR(_xlfn.BITLSHIFT(HEX2DEC(AV31)-128,1),HEX2DEC("1B"))),DEC2HEX(_xlfn.BITLSHIFT(HEX2DEC(AV31),1)))</f>
        <v>A6</v>
      </c>
      <c r="AW32" s="29"/>
      <c r="AY32" s="29"/>
      <c r="AZ32" s="29"/>
      <c r="BA32" s="12" t="str">
        <f ca="1">IF(HEX2DEC(BA31)&gt;127,DEC2HEX(_xlfn.BITXOR(_xlfn.BITLSHIFT(HEX2DEC(BA31)-128,1),HEX2DEC("1B"))),DEC2HEX(_xlfn.BITLSHIFT(HEX2DEC(BA31),1)))</f>
        <v>BF</v>
      </c>
      <c r="BB32" s="29"/>
      <c r="BC32" s="9"/>
      <c r="BD32" s="29"/>
      <c r="BE32" s="29"/>
      <c r="BF32" s="12" t="str">
        <f ca="1">IF(HEX2DEC(BF31)&gt;127,DEC2HEX(_xlfn.BITXOR(_xlfn.BITLSHIFT(HEX2DEC(BF31)-128,1),HEX2DEC("1B"))),DEC2HEX(_xlfn.BITLSHIFT(HEX2DEC(BF31),1)))</f>
        <v>37</v>
      </c>
      <c r="BG32" s="29"/>
    </row>
    <row r="33" spans="3:59" x14ac:dyDescent="0.4">
      <c r="C33" s="5">
        <v>0</v>
      </c>
      <c r="D33" s="12" t="str" cm="1">
        <f t="array" aca="1" ref="D33" ca="1">INDEX('S-box'!$D$5:$S$20,HEX2DEC(LEFT(J25,1))+1, HEX2DEC(RIGHT(J25,1))+1)</f>
        <v>49</v>
      </c>
      <c r="E33" s="12" t="str" cm="1">
        <f t="array" aca="1" ref="E33" ca="1">INDEX('S-box'!$D$5:$S$20,HEX2DEC(LEFT(K25,1))+1, HEX2DEC(RIGHT(K25,1))+1)</f>
        <v>45</v>
      </c>
      <c r="F33" s="12" t="str" cm="1">
        <f t="array" aca="1" ref="F33" ca="1">INDEX('S-box'!$D$5:$S$20,HEX2DEC(LEFT(L25,1))+1, HEX2DEC(RIGHT(L25,1))+1)</f>
        <v>7f</v>
      </c>
      <c r="G33" s="12" t="str" cm="1">
        <f t="array" aca="1" ref="G33" ca="1">INDEX('S-box'!$D$5:$S$20,HEX2DEC(LEFT(M25,1))+1, HEX2DEC(RIGHT(M25,1))+1)</f>
        <v>77</v>
      </c>
      <c r="I33" s="5">
        <v>0</v>
      </c>
      <c r="J33" s="12" t="str">
        <f ca="1">D33</f>
        <v>49</v>
      </c>
      <c r="K33" s="12" t="str">
        <f ca="1">E33</f>
        <v>45</v>
      </c>
      <c r="L33" s="12" t="str">
        <f ca="1">F33</f>
        <v>7f</v>
      </c>
      <c r="M33" s="12" t="str">
        <f ca="1">G33</f>
        <v>77</v>
      </c>
      <c r="O33" s="5">
        <v>0</v>
      </c>
      <c r="P33" s="1" t="str">
        <f ca="1">AO26</f>
        <v>58</v>
      </c>
      <c r="Q33" s="31" t="str">
        <f ca="1">AT26</f>
        <v>1b</v>
      </c>
      <c r="R33" s="12" t="str">
        <f ca="1">AY26</f>
        <v>db</v>
      </c>
      <c r="S33" s="12" t="str">
        <f ca="1">BD26</f>
        <v>1B</v>
      </c>
      <c r="U33" s="29"/>
      <c r="V33" s="29"/>
      <c r="W33" s="12" t="str">
        <f ca="1">DEC2HEX(_xlfn.BITXOR(HEX2DEC(W$31),HEX2DEC(W$32)))</f>
        <v>E7</v>
      </c>
      <c r="X33" s="29"/>
      <c r="Y33" s="28"/>
      <c r="Z33" s="29"/>
      <c r="AA33" s="29"/>
      <c r="AB33" s="12" t="str">
        <f ca="1">DEC2HEX(_xlfn.BITXOR(HEX2DEC(AB31),HEX2DEC(AB32)))</f>
        <v>F6</v>
      </c>
      <c r="AC33" s="29"/>
      <c r="AE33" s="29"/>
      <c r="AF33" s="29"/>
      <c r="AG33" s="12" t="str">
        <f ca="1">DEC2HEX(_xlfn.BITXOR(HEX2DEC(AG31),HEX2DEC(AG32)))</f>
        <v>33</v>
      </c>
      <c r="AH33" s="29"/>
      <c r="AI33" s="9"/>
      <c r="AJ33" s="29"/>
      <c r="AK33" s="29"/>
      <c r="AL33" s="12" t="str">
        <f ca="1">DEC2HEX(_xlfn.BITXOR(HEX2DEC(AL31),HEX2DEC(AL32)))</f>
        <v>B3</v>
      </c>
      <c r="AM33" s="29"/>
      <c r="AN33" s="9"/>
      <c r="AO33" s="29"/>
      <c r="AP33" s="29"/>
      <c r="AQ33" s="12" t="str">
        <f ca="1">DEC2HEX(_xlfn.BITXOR(HEX2DEC(AQ$31),HEX2DEC(AQ$32)))</f>
        <v>92</v>
      </c>
      <c r="AR33" s="29"/>
      <c r="AS33" s="28"/>
      <c r="AT33" s="29"/>
      <c r="AU33" s="29"/>
      <c r="AV33" s="12" t="str">
        <f ca="1">DEC2HEX(_xlfn.BITXOR(HEX2DEC(AV31),HEX2DEC(AV32)))</f>
        <v>F5</v>
      </c>
      <c r="AW33" s="29"/>
      <c r="AY33" s="29"/>
      <c r="AZ33" s="29"/>
      <c r="BA33" s="12" t="str">
        <f ca="1">DEC2HEX(_xlfn.BITXOR(HEX2DEC(BA31),HEX2DEC(BA32)))</f>
        <v>6D</v>
      </c>
      <c r="BB33" s="29"/>
      <c r="BC33" s="9"/>
      <c r="BD33" s="29"/>
      <c r="BE33" s="29"/>
      <c r="BF33" s="12" t="str">
        <f ca="1">DEC2HEX(_xlfn.BITXOR(HEX2DEC(BF31),HEX2DEC(BF32)))</f>
        <v>A1</v>
      </c>
      <c r="BG33" s="29"/>
    </row>
    <row r="34" spans="3:59" x14ac:dyDescent="0.4">
      <c r="C34" s="5">
        <v>1</v>
      </c>
      <c r="D34" s="12" t="str" cm="1">
        <f t="array" aca="1" ref="D34" ca="1">INDEX('S-box'!$D$5:$S$20,HEX2DEC(LEFT(J26,1))+1, HEX2DEC(RIGHT(J26,1))+1)</f>
        <v>de</v>
      </c>
      <c r="E34" s="12" t="str" cm="1">
        <f t="array" aca="1" ref="E34" ca="1">INDEX('S-box'!$D$5:$S$20,HEX2DEC(LEFT(K26,1))+1, HEX2DEC(RIGHT(K26,1))+1)</f>
        <v>db</v>
      </c>
      <c r="F34" s="12" t="str" cm="1">
        <f t="array" aca="1" ref="F34" ca="1">INDEX('S-box'!$D$5:$S$20,HEX2DEC(LEFT(L26,1))+1, HEX2DEC(RIGHT(L26,1))+1)</f>
        <v>39</v>
      </c>
      <c r="G34" s="12" t="str" cm="1">
        <f t="array" aca="1" ref="G34" ca="1">INDEX('S-box'!$D$5:$S$20,HEX2DEC(LEFT(M26,1))+1, HEX2DEC(RIGHT(M26,1))+1)</f>
        <v>02</v>
      </c>
      <c r="I34" s="5">
        <v>1</v>
      </c>
      <c r="J34" s="12" t="str">
        <f ca="1">E34</f>
        <v>db</v>
      </c>
      <c r="K34" s="12" t="str">
        <f ca="1">F34</f>
        <v>39</v>
      </c>
      <c r="L34" s="12" t="str">
        <f ca="1">G34</f>
        <v>02</v>
      </c>
      <c r="M34" s="12" t="str">
        <f ca="1">D34</f>
        <v>de</v>
      </c>
      <c r="O34" s="5">
        <v>1</v>
      </c>
      <c r="P34" s="1" t="str">
        <f ca="1">AP35</f>
        <v>4d</v>
      </c>
      <c r="Q34" s="12" t="str">
        <f ca="1">AU35</f>
        <v>4b</v>
      </c>
      <c r="R34" s="12" t="str">
        <f ca="1">AZ35</f>
        <v>e7</v>
      </c>
      <c r="S34" s="12" t="str">
        <f ca="1">BE35</f>
        <v>6B</v>
      </c>
      <c r="U34" s="29"/>
      <c r="V34" s="29"/>
      <c r="W34" s="29"/>
      <c r="X34" s="29" t="str">
        <f ca="1">X27</f>
        <v>30</v>
      </c>
      <c r="Y34" s="28"/>
      <c r="Z34" s="29"/>
      <c r="AA34" s="29"/>
      <c r="AB34" s="29"/>
      <c r="AC34" s="29" t="str">
        <f ca="1">AC27</f>
        <v>ae</v>
      </c>
      <c r="AE34" s="29"/>
      <c r="AF34" s="29"/>
      <c r="AG34" s="29"/>
      <c r="AH34" s="29" t="str">
        <f ca="1">AH27</f>
        <v>f1</v>
      </c>
      <c r="AI34" s="9"/>
      <c r="AJ34" s="29"/>
      <c r="AK34" s="29"/>
      <c r="AL34" s="29"/>
      <c r="AM34" s="29" t="str">
        <f ca="1">AM27</f>
        <v>e5</v>
      </c>
      <c r="AN34" s="9"/>
      <c r="AO34" s="29"/>
      <c r="AP34" s="29"/>
      <c r="AQ34" s="29"/>
      <c r="AR34" s="29" t="str">
        <f ca="1">AR27</f>
        <v>3b</v>
      </c>
      <c r="AS34" s="28"/>
      <c r="AT34" s="29"/>
      <c r="AU34" s="29"/>
      <c r="AV34" s="29"/>
      <c r="AW34" s="29" t="str">
        <f ca="1">AW27</f>
        <v>89</v>
      </c>
      <c r="AY34" s="29"/>
      <c r="AZ34" s="29"/>
      <c r="BA34" s="29"/>
      <c r="BB34" s="29" t="str">
        <f ca="1">BB27</f>
        <v>f1</v>
      </c>
      <c r="BC34" s="9"/>
      <c r="BD34" s="29"/>
      <c r="BE34" s="29"/>
      <c r="BF34" s="29"/>
      <c r="BG34" s="29" t="str">
        <f ca="1">BG27</f>
        <v>1a</v>
      </c>
    </row>
    <row r="35" spans="3:59" x14ac:dyDescent="0.4">
      <c r="C35" s="5">
        <v>2</v>
      </c>
      <c r="D35" s="12" t="str" cm="1">
        <f t="array" aca="1" ref="D35" ca="1">INDEX('S-box'!$D$5:$S$20,HEX2DEC(LEFT(J27,1))+1, HEX2DEC(RIGHT(J27,1))+1)</f>
        <v>d2</v>
      </c>
      <c r="E35" s="12" t="str" cm="1">
        <f t="array" aca="1" ref="E35" ca="1">INDEX('S-box'!$D$5:$S$20,HEX2DEC(LEFT(K27,1))+1, HEX2DEC(RIGHT(K27,1))+1)</f>
        <v>96</v>
      </c>
      <c r="F35" s="12" t="str" cm="1">
        <f t="array" aca="1" ref="F35" ca="1">INDEX('S-box'!$D$5:$S$20,HEX2DEC(LEFT(L27,1))+1, HEX2DEC(RIGHT(L27,1))+1)</f>
        <v>87</v>
      </c>
      <c r="G35" s="12" t="str" cm="1">
        <f t="array" aca="1" ref="G35" ca="1">INDEX('S-box'!$D$5:$S$20,HEX2DEC(LEFT(M27,1))+1, HEX2DEC(RIGHT(M27,1))+1)</f>
        <v>53</v>
      </c>
      <c r="I35" s="5">
        <v>2</v>
      </c>
      <c r="J35" s="12" t="str">
        <f ca="1">F35</f>
        <v>87</v>
      </c>
      <c r="K35" s="12" t="str">
        <f ca="1">G35</f>
        <v>53</v>
      </c>
      <c r="L35" s="12" t="str">
        <f ca="1">D35</f>
        <v>d2</v>
      </c>
      <c r="M35" s="12" t="str">
        <f ca="1">E35</f>
        <v>96</v>
      </c>
      <c r="O35" s="5">
        <v>2</v>
      </c>
      <c r="P35" s="1" t="str">
        <f ca="1">AQ44</f>
        <v>ca</v>
      </c>
      <c r="Q35" s="12" t="str">
        <f ca="1">AV44</f>
        <v>5a</v>
      </c>
      <c r="R35" s="12" t="str">
        <f ca="1">BA44</f>
        <v>ca</v>
      </c>
      <c r="S35" s="12" t="str">
        <f ca="1">BF44</f>
        <v>b0</v>
      </c>
      <c r="U35" s="12"/>
      <c r="V35" s="33" t="str">
        <f ca="1">DEC2HEX(_xlfn.BITXOR(_xlfn.BITXOR(_xlfn.BITXOR(HEX2DEC(U$28),HEX2DEC(V$30)),HEX2DEC(W$33)),HEX2DEC(X$34)))</f>
        <v>66</v>
      </c>
      <c r="W35" s="29"/>
      <c r="X35" s="29"/>
      <c r="Y35" s="28"/>
      <c r="Z35" s="12"/>
      <c r="AA35" s="33" t="str">
        <f ca="1">LOWER(DEC2HEX(_xlfn.BITXOR(_xlfn.BITXOR(_xlfn.BITXOR(HEX2DEC(Z28),HEX2DEC(AA30)),HEX2DEC(AB33)),HEX2DEC(AC34))))</f>
        <v>cb</v>
      </c>
      <c r="AB35" s="29"/>
      <c r="AC35" s="29"/>
      <c r="AE35" s="12"/>
      <c r="AF35" s="33" t="str">
        <f ca="1">LOWER(DEC2HEX(_xlfn.BITXOR(_xlfn.BITXOR(_xlfn.BITXOR(HEX2DEC(AE28),HEX2DEC(AF30)),HEX2DEC(AG33)),HEX2DEC(AH34))))</f>
        <v>f8</v>
      </c>
      <c r="AG35" s="29"/>
      <c r="AH35" s="29"/>
      <c r="AI35" s="9"/>
      <c r="AJ35" s="12"/>
      <c r="AK35" s="33" t="str">
        <f ca="1">IF(LEN(DEC2HEX(_xlfn.BITXOR(_xlfn.BITXOR(_xlfn.BITXOR(HEX2DEC(AJ28),HEX2DEC(AK30)),HEX2DEC(AL33)),HEX2DEC(AM34))))=1, "0"&amp;DEC2HEX(_xlfn.BITXOR(_xlfn.BITXOR(_xlfn.BITXOR(HEX2DEC(AJ28),HEX2DEC(AK30)),HEX2DEC(AL33)),HEX2DEC(AM34))), DEC2HEX(_xlfn.BITXOR(_xlfn.BITXOR(_xlfn.BITXOR(HEX2DEC(AJ28),HEX2DEC(AK30)),HEX2DEC(AL33)),HEX2DEC(AM34))))</f>
        <v>06</v>
      </c>
      <c r="AL35" s="29"/>
      <c r="AM35" s="29"/>
      <c r="AN35" s="9"/>
      <c r="AO35" s="12"/>
      <c r="AP35" s="33" t="str">
        <f ca="1">LOWER(DEC2HEX(_xlfn.BITXOR(_xlfn.BITXOR(_xlfn.BITXOR(HEX2DEC(AO$28),HEX2DEC(AP$30)),HEX2DEC(AQ$33)),HEX2DEC(AR$34))))</f>
        <v>4d</v>
      </c>
      <c r="AQ35" s="29"/>
      <c r="AR35" s="29"/>
      <c r="AS35" s="28"/>
      <c r="AT35" s="12"/>
      <c r="AU35" s="33" t="str">
        <f ca="1">LOWER(DEC2HEX(_xlfn.BITXOR(_xlfn.BITXOR(_xlfn.BITXOR(HEX2DEC(AT28),HEX2DEC(AU30)),HEX2DEC(AV33)),HEX2DEC(AW34))))</f>
        <v>4b</v>
      </c>
      <c r="AV35" s="29"/>
      <c r="AW35" s="29"/>
      <c r="AY35" s="12"/>
      <c r="AZ35" s="33" t="str">
        <f ca="1">LOWER(DEC2HEX(_xlfn.BITXOR(_xlfn.BITXOR(_xlfn.BITXOR(HEX2DEC(AY28),HEX2DEC(AZ30)),HEX2DEC(BA33)),HEX2DEC(BB34))))</f>
        <v>e7</v>
      </c>
      <c r="BA35" s="29"/>
      <c r="BB35" s="29"/>
      <c r="BC35" s="9"/>
      <c r="BD35" s="12"/>
      <c r="BE35" s="33" t="str">
        <f ca="1">IF(LEN(DEC2HEX(_xlfn.BITXOR(_xlfn.BITXOR(_xlfn.BITXOR(HEX2DEC(BD28),HEX2DEC(BE30)),HEX2DEC(BF33)),HEX2DEC(BG34))))=1, "0"&amp;DEC2HEX(_xlfn.BITXOR(_xlfn.BITXOR(_xlfn.BITXOR(HEX2DEC(BD28),HEX2DEC(BE30)),HEX2DEC(BF33)),HEX2DEC(BG34))), DEC2HEX(_xlfn.BITXOR(_xlfn.BITXOR(_xlfn.BITXOR(HEX2DEC(BD28),HEX2DEC(BE30)),HEX2DEC(BF33)),HEX2DEC(BG34))))</f>
        <v>6B</v>
      </c>
      <c r="BF35" s="29"/>
      <c r="BG35" s="29"/>
    </row>
    <row r="36" spans="3:59" x14ac:dyDescent="0.4">
      <c r="C36" s="1">
        <v>3</v>
      </c>
      <c r="D36" s="12" t="str" cm="1">
        <f t="array" aca="1" ref="D36" ca="1">INDEX('S-box'!$D$5:$S$20,HEX2DEC(LEFT(J28,1))+1, HEX2DEC(RIGHT(J28,1))+1)</f>
        <v>89</v>
      </c>
      <c r="E36" s="12" t="str" cm="1">
        <f t="array" aca="1" ref="E36" ca="1">INDEX('S-box'!$D$5:$S$20,HEX2DEC(LEFT(K28,1))+1, HEX2DEC(RIGHT(K28,1))+1)</f>
        <v>f1</v>
      </c>
      <c r="F36" s="12" t="str" cm="1">
        <f t="array" aca="1" ref="F36" ca="1">INDEX('S-box'!$D$5:$S$20,HEX2DEC(LEFT(L28,1))+1, HEX2DEC(RIGHT(L28,1))+1)</f>
        <v>1a</v>
      </c>
      <c r="G36" s="12" t="str" cm="1">
        <f t="array" aca="1" ref="G36" ca="1">INDEX('S-box'!$D$5:$S$20,HEX2DEC(LEFT(M28,1))+1, HEX2DEC(RIGHT(M28,1))+1)</f>
        <v>3b</v>
      </c>
      <c r="I36" s="1">
        <v>3</v>
      </c>
      <c r="J36" s="12" t="str">
        <f ca="1">G36</f>
        <v>3b</v>
      </c>
      <c r="K36" s="12" t="str">
        <f ca="1">D36</f>
        <v>89</v>
      </c>
      <c r="L36" s="12" t="str">
        <f ca="1">E36</f>
        <v>f1</v>
      </c>
      <c r="M36" s="12" t="str">
        <f ca="1">F36</f>
        <v>1a</v>
      </c>
      <c r="O36" s="1">
        <v>3</v>
      </c>
      <c r="P36" s="1" t="str">
        <f ca="1">AR53</f>
        <v>f1</v>
      </c>
      <c r="Q36" s="12" t="str">
        <f ca="1">AW53</f>
        <v>ac</v>
      </c>
      <c r="R36" s="12" t="str">
        <f ca="1">BB53</f>
        <v>a8</v>
      </c>
      <c r="S36" s="12" t="str">
        <f ca="1">BG53</f>
        <v>e5</v>
      </c>
      <c r="U36" s="30" t="str">
        <f ca="1">$J$18</f>
        <v>d4</v>
      </c>
      <c r="V36" s="30" t="str">
        <f ca="1">$J$19</f>
        <v>bf</v>
      </c>
      <c r="W36" s="30" t="str">
        <f ca="1">$J$20</f>
        <v>5d</v>
      </c>
      <c r="X36" s="30" t="str">
        <f ca="1">$J$21</f>
        <v>30</v>
      </c>
      <c r="Y36" s="28"/>
      <c r="Z36" s="30" t="str">
        <f ca="1">$K$18</f>
        <v>e0</v>
      </c>
      <c r="AA36" s="30" t="str">
        <f ca="1">$K$19</f>
        <v>b4</v>
      </c>
      <c r="AB36" s="30" t="str">
        <f ca="1">$K$20</f>
        <v>52</v>
      </c>
      <c r="AC36" s="30" t="str">
        <f ca="1">$K$21</f>
        <v>ae</v>
      </c>
      <c r="AE36" s="30" t="str">
        <f ca="1">$L$18</f>
        <v>b8</v>
      </c>
      <c r="AF36" s="30" t="str">
        <f ca="1">$L$19</f>
        <v>41</v>
      </c>
      <c r="AG36" s="30" t="str">
        <f ca="1">$L$20</f>
        <v>11</v>
      </c>
      <c r="AH36" s="30" t="str">
        <f ca="1">$L$21</f>
        <v>f1</v>
      </c>
      <c r="AI36" s="9"/>
      <c r="AJ36" s="30" t="str">
        <f ca="1">$M$18</f>
        <v>1e</v>
      </c>
      <c r="AK36" s="30" t="str">
        <f ca="1">$M$19</f>
        <v>27</v>
      </c>
      <c r="AL36" s="30" t="str">
        <f ca="1">$M$20</f>
        <v>98</v>
      </c>
      <c r="AM36" s="30" t="str">
        <f ca="1">$M$21</f>
        <v>e5</v>
      </c>
      <c r="AN36" s="9"/>
      <c r="AO36" s="30" t="str">
        <f ca="1">$J$33</f>
        <v>49</v>
      </c>
      <c r="AP36" s="30" t="str">
        <f ca="1">$J$34</f>
        <v>db</v>
      </c>
      <c r="AQ36" s="30" t="str">
        <f ca="1">$J$35</f>
        <v>87</v>
      </c>
      <c r="AR36" s="30" t="str">
        <f ca="1">$J$36</f>
        <v>3b</v>
      </c>
      <c r="AS36" s="28"/>
      <c r="AT36" s="30" t="str">
        <f ca="1">$K$33</f>
        <v>45</v>
      </c>
      <c r="AU36" s="30" t="str">
        <f ca="1">$K$34</f>
        <v>39</v>
      </c>
      <c r="AV36" s="30" t="str">
        <f ca="1">$K$35</f>
        <v>53</v>
      </c>
      <c r="AW36" s="30" t="str">
        <f ca="1">$K$36</f>
        <v>89</v>
      </c>
      <c r="AY36" s="30" t="str">
        <f ca="1">$L$33</f>
        <v>7f</v>
      </c>
      <c r="AZ36" s="30" t="str">
        <f ca="1">$L$34</f>
        <v>02</v>
      </c>
      <c r="BA36" s="30" t="str">
        <f ca="1">$L$35</f>
        <v>d2</v>
      </c>
      <c r="BB36" s="30" t="str">
        <f ca="1">$L$36</f>
        <v>f1</v>
      </c>
      <c r="BC36" s="9"/>
      <c r="BD36" s="30" t="str">
        <f ca="1">$M$33</f>
        <v>77</v>
      </c>
      <c r="BE36" s="30" t="str">
        <f ca="1">$M$34</f>
        <v>de</v>
      </c>
      <c r="BF36" s="30" t="str">
        <f ca="1">$M$35</f>
        <v>96</v>
      </c>
      <c r="BG36" s="30" t="str">
        <f ca="1">$M$36</f>
        <v>1a</v>
      </c>
    </row>
    <row r="37" spans="3:59" x14ac:dyDescent="0.4">
      <c r="U37" s="29" t="str">
        <f ca="1">U36</f>
        <v>d4</v>
      </c>
      <c r="V37" s="29"/>
      <c r="W37" s="29"/>
      <c r="X37" s="29"/>
      <c r="Y37" s="28"/>
      <c r="Z37" s="29" t="str">
        <f ca="1">Z36</f>
        <v>e0</v>
      </c>
      <c r="AA37" s="29"/>
      <c r="AB37" s="29"/>
      <c r="AC37" s="29"/>
      <c r="AE37" s="29" t="str">
        <f ca="1">AE36</f>
        <v>b8</v>
      </c>
      <c r="AF37" s="29"/>
      <c r="AG37" s="29"/>
      <c r="AH37" s="29"/>
      <c r="AI37" s="9"/>
      <c r="AJ37" s="29" t="str">
        <f ca="1">AJ36</f>
        <v>1e</v>
      </c>
      <c r="AK37" s="29"/>
      <c r="AL37" s="29"/>
      <c r="AM37" s="29"/>
      <c r="AN37" s="9"/>
      <c r="AO37" s="29" t="str">
        <f ca="1">AO36</f>
        <v>49</v>
      </c>
      <c r="AP37" s="29"/>
      <c r="AQ37" s="29"/>
      <c r="AR37" s="29"/>
      <c r="AS37" s="28"/>
      <c r="AT37" s="29" t="str">
        <f ca="1">AT36</f>
        <v>45</v>
      </c>
      <c r="AU37" s="29"/>
      <c r="AV37" s="29"/>
      <c r="AW37" s="29"/>
      <c r="AY37" s="29" t="str">
        <f ca="1">AY36</f>
        <v>7f</v>
      </c>
      <c r="AZ37" s="29"/>
      <c r="BA37" s="29"/>
      <c r="BB37" s="29"/>
      <c r="BC37" s="9"/>
      <c r="BD37" s="29" t="str">
        <f ca="1">BD36</f>
        <v>77</v>
      </c>
      <c r="BE37" s="29"/>
      <c r="BF37" s="29"/>
      <c r="BG37" s="29"/>
    </row>
    <row r="38" spans="3:59" ht="24" x14ac:dyDescent="0.4">
      <c r="C38" s="19" t="s">
        <v>341</v>
      </c>
      <c r="I38" s="19" t="s">
        <v>22</v>
      </c>
      <c r="U38" s="29"/>
      <c r="V38" s="29" t="str">
        <f ca="1">V36</f>
        <v>bf</v>
      </c>
      <c r="W38" s="29"/>
      <c r="X38" s="29"/>
      <c r="Y38" s="28"/>
      <c r="Z38" s="29"/>
      <c r="AA38" s="29" t="str">
        <f ca="1">AA36</f>
        <v>b4</v>
      </c>
      <c r="AB38" s="29"/>
      <c r="AC38" s="29"/>
      <c r="AE38" s="29"/>
      <c r="AF38" s="29" t="str">
        <f ca="1">AF36</f>
        <v>41</v>
      </c>
      <c r="AG38" s="29"/>
      <c r="AH38" s="29"/>
      <c r="AI38" s="9"/>
      <c r="AJ38" s="29"/>
      <c r="AK38" s="29" t="str">
        <f ca="1">AK36</f>
        <v>27</v>
      </c>
      <c r="AL38" s="29"/>
      <c r="AM38" s="29"/>
      <c r="AN38" s="9"/>
      <c r="AO38" s="29"/>
      <c r="AP38" s="29" t="str">
        <f ca="1">AP36</f>
        <v>db</v>
      </c>
      <c r="AQ38" s="29"/>
      <c r="AR38" s="29"/>
      <c r="AS38" s="28"/>
      <c r="AT38" s="29"/>
      <c r="AU38" s="29" t="str">
        <f ca="1">AU36</f>
        <v>39</v>
      </c>
      <c r="AV38" s="29"/>
      <c r="AW38" s="29"/>
      <c r="AY38" s="29"/>
      <c r="AZ38" s="29" t="str">
        <f ca="1">AZ36</f>
        <v>02</v>
      </c>
      <c r="BA38" s="29"/>
      <c r="BB38" s="29"/>
      <c r="BC38" s="9"/>
      <c r="BD38" s="29"/>
      <c r="BE38" s="29" t="str">
        <f ca="1">BE36</f>
        <v>de</v>
      </c>
      <c r="BF38" s="29"/>
      <c r="BG38" s="29"/>
    </row>
    <row r="39" spans="3:59" x14ac:dyDescent="0.4">
      <c r="C39" s="5"/>
      <c r="D39" s="1">
        <v>0</v>
      </c>
      <c r="E39" s="1">
        <v>1</v>
      </c>
      <c r="F39" s="1">
        <v>2</v>
      </c>
      <c r="G39" s="1">
        <v>3</v>
      </c>
      <c r="I39" s="5"/>
      <c r="J39" s="1">
        <v>0</v>
      </c>
      <c r="K39" s="1">
        <v>1</v>
      </c>
      <c r="L39" s="1">
        <v>2</v>
      </c>
      <c r="M39" s="1">
        <v>3</v>
      </c>
      <c r="U39" s="29"/>
      <c r="V39" s="29"/>
      <c r="W39" s="29" t="str">
        <f ca="1">W36</f>
        <v>5d</v>
      </c>
      <c r="X39" s="29"/>
      <c r="Y39" s="28"/>
      <c r="Z39" s="29"/>
      <c r="AA39" s="29"/>
      <c r="AB39" s="29" t="str">
        <f ca="1">AB36</f>
        <v>52</v>
      </c>
      <c r="AC39" s="29"/>
      <c r="AE39" s="29"/>
      <c r="AF39" s="29"/>
      <c r="AG39" s="29" t="str">
        <f ca="1">AG36</f>
        <v>11</v>
      </c>
      <c r="AH39" s="29"/>
      <c r="AI39" s="9"/>
      <c r="AJ39" s="29"/>
      <c r="AK39" s="29"/>
      <c r="AL39" s="29" t="str">
        <f ca="1">AL36</f>
        <v>98</v>
      </c>
      <c r="AM39" s="29"/>
      <c r="AN39" s="9"/>
      <c r="AO39" s="29"/>
      <c r="AP39" s="29"/>
      <c r="AQ39" s="29" t="str">
        <f ca="1">AQ36</f>
        <v>87</v>
      </c>
      <c r="AR39" s="29"/>
      <c r="AS39" s="28"/>
      <c r="AT39" s="29"/>
      <c r="AU39" s="29"/>
      <c r="AV39" s="29" t="str">
        <f ca="1">AV36</f>
        <v>53</v>
      </c>
      <c r="AW39" s="29"/>
      <c r="AY39" s="29"/>
      <c r="AZ39" s="29"/>
      <c r="BA39" s="29" t="str">
        <f ca="1">BA36</f>
        <v>d2</v>
      </c>
      <c r="BB39" s="29"/>
      <c r="BC39" s="9"/>
      <c r="BD39" s="29"/>
      <c r="BE39" s="29"/>
      <c r="BF39" s="29" t="str">
        <f ca="1">BF36</f>
        <v>96</v>
      </c>
      <c r="BG39" s="29"/>
    </row>
    <row r="40" spans="3:59" x14ac:dyDescent="0.4">
      <c r="C40" s="5">
        <v>0</v>
      </c>
      <c r="D40" s="12" t="str">
        <f>'키생성과정(Key Scheduling)'!O25</f>
        <v>f2</v>
      </c>
      <c r="E40" s="12" t="str">
        <f>'키생성과정(Key Scheduling)'!P25</f>
        <v>7a</v>
      </c>
      <c r="F40" s="12" t="str">
        <f>'키생성과정(Key Scheduling)'!Q25</f>
        <v>59</v>
      </c>
      <c r="G40" s="12" t="str">
        <f>'키생성과정(Key Scheduling)'!R25</f>
        <v>73</v>
      </c>
      <c r="I40" s="5">
        <v>0</v>
      </c>
      <c r="J40" s="1" t="str">
        <f t="shared" ref="J40:L42" ca="1" si="4">LOWER(DEC2HEX(_xlfn.BITXOR(HEX2DEC(P33),HEX2DEC(D40))))</f>
        <v>aa</v>
      </c>
      <c r="K40" s="1" t="str">
        <f t="shared" ca="1" si="4"/>
        <v>61</v>
      </c>
      <c r="L40" s="1" t="str">
        <f t="shared" ca="1" si="4"/>
        <v>82</v>
      </c>
      <c r="M40" s="1" t="str">
        <f ca="1">IF(LEN(DEC2HEX(_xlfn.BITXOR(HEX2DEC(S33),HEX2DEC(G40))))=1, "0"&amp;DEC2HEX(_xlfn.BITXOR(HEX2DEC(S33),HEX2DEC(G40))), DEC2HEX(_xlfn.BITXOR(HEX2DEC(S33),HEX2DEC(G40))))</f>
        <v>68</v>
      </c>
      <c r="U40" s="29"/>
      <c r="V40" s="29"/>
      <c r="W40" s="12" t="str">
        <f ca="1">IF(HEX2DEC(W39)&gt;127,DEC2HEX(_xlfn.BITXOR(_xlfn.BITLSHIFT(HEX2DEC(W39)-128,1),HEX2DEC("1B"))),DEC2HEX(_xlfn.BITLSHIFT(HEX2DEC(W39),1)))</f>
        <v>BA</v>
      </c>
      <c r="X40" s="29"/>
      <c r="Y40" s="28"/>
      <c r="Z40" s="29"/>
      <c r="AA40" s="29"/>
      <c r="AB40" s="12" t="str">
        <f ca="1">IF(HEX2DEC(AB39)&gt;127,DEC2HEX(_xlfn.BITXOR(_xlfn.BITLSHIFT(HEX2DEC(AB39)-128,1),HEX2DEC("1B"))),DEC2HEX(_xlfn.BITLSHIFT(HEX2DEC(AB39),1)))</f>
        <v>A4</v>
      </c>
      <c r="AC40" s="29"/>
      <c r="AE40" s="29"/>
      <c r="AF40" s="29"/>
      <c r="AG40" s="12" t="str">
        <f ca="1">IF(HEX2DEC(AG39)&gt;127,DEC2HEX(_xlfn.BITXOR(_xlfn.BITLSHIFT(HEX2DEC(AG39)-128,1),HEX2DEC("1B"))),DEC2HEX(_xlfn.BITLSHIFT(HEX2DEC(AG39),1)))</f>
        <v>22</v>
      </c>
      <c r="AH40" s="29"/>
      <c r="AI40" s="9"/>
      <c r="AJ40" s="29"/>
      <c r="AK40" s="29"/>
      <c r="AL40" s="12" t="str">
        <f ca="1">IF(HEX2DEC(AL39)&gt;127,DEC2HEX(_xlfn.BITXOR(_xlfn.BITLSHIFT(HEX2DEC(AL39)-128,1),HEX2DEC("1B"))),DEC2HEX(_xlfn.BITLSHIFT(HEX2DEC(AL39),1)))</f>
        <v>2B</v>
      </c>
      <c r="AM40" s="29"/>
      <c r="AN40" s="9"/>
      <c r="AO40" s="29"/>
      <c r="AP40" s="29"/>
      <c r="AQ40" s="12" t="str">
        <f ca="1">IF(HEX2DEC(AQ39)&gt;127,DEC2HEX(_xlfn.BITXOR(_xlfn.BITLSHIFT(HEX2DEC(AQ39)-128,1),HEX2DEC("1B"))),DEC2HEX(_xlfn.BITLSHIFT(HEX2DEC(AQ39),1)))</f>
        <v>15</v>
      </c>
      <c r="AR40" s="29"/>
      <c r="AS40" s="28"/>
      <c r="AT40" s="29"/>
      <c r="AU40" s="29"/>
      <c r="AV40" s="12" t="str">
        <f ca="1">IF(HEX2DEC(AV39)&gt;127,DEC2HEX(_xlfn.BITXOR(_xlfn.BITLSHIFT(HEX2DEC(AV39)-128,1),HEX2DEC("1B"))),DEC2HEX(_xlfn.BITLSHIFT(HEX2DEC(AV39),1)))</f>
        <v>A6</v>
      </c>
      <c r="AW40" s="29"/>
      <c r="AY40" s="29"/>
      <c r="AZ40" s="29"/>
      <c r="BA40" s="12" t="str">
        <f ca="1">IF(HEX2DEC(BA39)&gt;127,DEC2HEX(_xlfn.BITXOR(_xlfn.BITLSHIFT(HEX2DEC(BA39)-128,1),HEX2DEC("1B"))),DEC2HEX(_xlfn.BITLSHIFT(HEX2DEC(BA39),1)))</f>
        <v>BF</v>
      </c>
      <c r="BB40" s="29"/>
      <c r="BC40" s="9"/>
      <c r="BD40" s="29"/>
      <c r="BE40" s="29"/>
      <c r="BF40" s="12" t="str">
        <f ca="1">IF(HEX2DEC(BF39)&gt;127,DEC2HEX(_xlfn.BITXOR(_xlfn.BITLSHIFT(HEX2DEC(BF39)-128,1),HEX2DEC("1B"))),DEC2HEX(_xlfn.BITLSHIFT(HEX2DEC(BF39),1)))</f>
        <v>37</v>
      </c>
      <c r="BG40" s="29"/>
    </row>
    <row r="41" spans="3:59" x14ac:dyDescent="0.4">
      <c r="C41" s="5">
        <v>1</v>
      </c>
      <c r="D41" s="12" t="str">
        <f>'키생성과정(Key Scheduling)'!O26</f>
        <v>c2</v>
      </c>
      <c r="E41" s="12" t="str">
        <f>'키생성과정(Key Scheduling)'!P26</f>
        <v>96</v>
      </c>
      <c r="F41" s="12" t="str">
        <f>'키생성과정(Key Scheduling)'!Q26</f>
        <v>35</v>
      </c>
      <c r="G41" s="12" t="str">
        <f>'키생성과정(Key Scheduling)'!R26</f>
        <v>59</v>
      </c>
      <c r="I41" s="5">
        <v>1</v>
      </c>
      <c r="J41" s="1" t="str">
        <f t="shared" ca="1" si="4"/>
        <v>8f</v>
      </c>
      <c r="K41" s="1" t="str">
        <f t="shared" ca="1" si="4"/>
        <v>dd</v>
      </c>
      <c r="L41" s="1" t="str">
        <f t="shared" ca="1" si="4"/>
        <v>d2</v>
      </c>
      <c r="M41" s="1" t="str">
        <f ca="1">LOWER(DEC2HEX(_xlfn.BITXOR(HEX2DEC(S34),HEX2DEC(G41))))</f>
        <v>32</v>
      </c>
      <c r="U41" s="29"/>
      <c r="V41" s="29"/>
      <c r="W41" s="29"/>
      <c r="X41" s="29" t="str">
        <f ca="1">X36</f>
        <v>30</v>
      </c>
      <c r="Y41" s="28"/>
      <c r="Z41" s="29"/>
      <c r="AA41" s="29"/>
      <c r="AB41" s="29"/>
      <c r="AC41" s="29" t="str">
        <f ca="1">AC36</f>
        <v>ae</v>
      </c>
      <c r="AE41" s="29"/>
      <c r="AF41" s="29"/>
      <c r="AG41" s="29"/>
      <c r="AH41" s="29" t="str">
        <f ca="1">AH36</f>
        <v>f1</v>
      </c>
      <c r="AI41" s="9"/>
      <c r="AJ41" s="29"/>
      <c r="AK41" s="29"/>
      <c r="AL41" s="29"/>
      <c r="AM41" s="29" t="str">
        <f ca="1">AM36</f>
        <v>e5</v>
      </c>
      <c r="AN41" s="9"/>
      <c r="AO41" s="29"/>
      <c r="AP41" s="29"/>
      <c r="AQ41" s="29"/>
      <c r="AR41" s="29" t="str">
        <f ca="1">AR36</f>
        <v>3b</v>
      </c>
      <c r="AS41" s="28"/>
      <c r="AT41" s="29"/>
      <c r="AU41" s="29"/>
      <c r="AV41" s="29"/>
      <c r="AW41" s="29" t="str">
        <f ca="1">AW36</f>
        <v>89</v>
      </c>
      <c r="AY41" s="29"/>
      <c r="AZ41" s="29"/>
      <c r="BA41" s="29"/>
      <c r="BB41" s="29" t="str">
        <f ca="1">BB36</f>
        <v>f1</v>
      </c>
      <c r="BC41" s="9"/>
      <c r="BD41" s="29"/>
      <c r="BE41" s="29"/>
      <c r="BF41" s="29"/>
      <c r="BG41" s="29" t="str">
        <f ca="1">BG36</f>
        <v>1a</v>
      </c>
    </row>
    <row r="42" spans="3:59" x14ac:dyDescent="0.4">
      <c r="C42" s="5">
        <v>2</v>
      </c>
      <c r="D42" s="12" t="str">
        <f>'키생성과정(Key Scheduling)'!O27</f>
        <v>95</v>
      </c>
      <c r="E42" s="12" t="str">
        <f>'키생성과정(Key Scheduling)'!P27</f>
        <v>b9</v>
      </c>
      <c r="F42" s="12" t="str">
        <f>'키생성과정(Key Scheduling)'!Q27</f>
        <v>80</v>
      </c>
      <c r="G42" s="12" t="str">
        <f>'키생성과정(Key Scheduling)'!R27</f>
        <v>f6</v>
      </c>
      <c r="I42" s="5">
        <v>2</v>
      </c>
      <c r="J42" s="1" t="str">
        <f t="shared" ca="1" si="4"/>
        <v>5f</v>
      </c>
      <c r="K42" s="1" t="str">
        <f t="shared" ca="1" si="4"/>
        <v>e3</v>
      </c>
      <c r="L42" s="1" t="str">
        <f t="shared" ca="1" si="4"/>
        <v>4a</v>
      </c>
      <c r="M42" s="1" t="str">
        <f ca="1">LOWER(DEC2HEX(_xlfn.BITXOR(HEX2DEC(S35),HEX2DEC(G42))))</f>
        <v>46</v>
      </c>
      <c r="U42" s="29"/>
      <c r="V42" s="29"/>
      <c r="W42" s="29"/>
      <c r="X42" s="12" t="str">
        <f ca="1">IF(HEX2DEC(X41)&gt;127,DEC2HEX(_xlfn.BITXOR(_xlfn.BITLSHIFT(HEX2DEC(X41)-128,1),HEX2DEC("1B"))),DEC2HEX(_xlfn.BITLSHIFT(HEX2DEC(X41),1)))</f>
        <v>60</v>
      </c>
      <c r="Y42" s="28"/>
      <c r="Z42" s="29"/>
      <c r="AA42" s="29"/>
      <c r="AB42" s="29"/>
      <c r="AC42" s="12" t="str">
        <f ca="1">IF(HEX2DEC(AC41)&gt;127,DEC2HEX(_xlfn.BITXOR(_xlfn.BITLSHIFT(HEX2DEC(AC41)-128,1),HEX2DEC("1B"))),DEC2HEX(_xlfn.BITLSHIFT(HEX2DEC(AC41),1)))</f>
        <v>47</v>
      </c>
      <c r="AE42" s="29"/>
      <c r="AF42" s="29"/>
      <c r="AG42" s="29"/>
      <c r="AH42" s="12" t="str">
        <f ca="1">IF(HEX2DEC(AH41)&gt;127,DEC2HEX(_xlfn.BITXOR(_xlfn.BITLSHIFT(HEX2DEC(AH41)-128,1),HEX2DEC("1B"))),DEC2HEX(_xlfn.BITLSHIFT(HEX2DEC(AH41),1)))</f>
        <v>F9</v>
      </c>
      <c r="AI42" s="9"/>
      <c r="AJ42" s="29"/>
      <c r="AK42" s="29"/>
      <c r="AL42" s="29"/>
      <c r="AM42" s="12" t="str">
        <f ca="1">IF(HEX2DEC(AM41)&gt;127,DEC2HEX(_xlfn.BITXOR(_xlfn.BITLSHIFT(HEX2DEC(AM41)-128,1),HEX2DEC("1B"))),DEC2HEX(_xlfn.BITLSHIFT(HEX2DEC(AM41),1)))</f>
        <v>D1</v>
      </c>
      <c r="AN42" s="9"/>
      <c r="AO42" s="29"/>
      <c r="AP42" s="29"/>
      <c r="AQ42" s="29"/>
      <c r="AR42" s="12" t="str">
        <f ca="1">IF(HEX2DEC(AR41)&gt;127,DEC2HEX(_xlfn.BITXOR(_xlfn.BITLSHIFT(HEX2DEC(AR41)-128,1),HEX2DEC("1B"))),DEC2HEX(_xlfn.BITLSHIFT(HEX2DEC(AR41),1)))</f>
        <v>76</v>
      </c>
      <c r="AS42" s="28"/>
      <c r="AT42" s="29"/>
      <c r="AU42" s="29"/>
      <c r="AV42" s="29"/>
      <c r="AW42" s="12" t="str">
        <f ca="1">IF(HEX2DEC(AW41)&gt;127,DEC2HEX(_xlfn.BITXOR(_xlfn.BITLSHIFT(HEX2DEC(AW41)-128,1),HEX2DEC("1B"))),DEC2HEX(_xlfn.BITLSHIFT(HEX2DEC(AW41),1)))</f>
        <v>9</v>
      </c>
      <c r="AY42" s="29"/>
      <c r="AZ42" s="29"/>
      <c r="BA42" s="29"/>
      <c r="BB42" s="12" t="str">
        <f ca="1">IF(HEX2DEC(BB41)&gt;127,DEC2HEX(_xlfn.BITXOR(_xlfn.BITLSHIFT(HEX2DEC(BB41)-128,1),HEX2DEC("1B"))),DEC2HEX(_xlfn.BITLSHIFT(HEX2DEC(BB41),1)))</f>
        <v>F9</v>
      </c>
      <c r="BC42" s="9"/>
      <c r="BD42" s="29"/>
      <c r="BE42" s="29"/>
      <c r="BF42" s="29"/>
      <c r="BG42" s="12" t="str">
        <f ca="1">IF(HEX2DEC(BG41)&gt;127,DEC2HEX(_xlfn.BITXOR(_xlfn.BITLSHIFT(HEX2DEC(BG41)-128,1),HEX2DEC("1B"))),DEC2HEX(_xlfn.BITLSHIFT(HEX2DEC(BG41),1)))</f>
        <v>34</v>
      </c>
    </row>
    <row r="43" spans="3:59" x14ac:dyDescent="0.4">
      <c r="C43" s="1">
        <v>3</v>
      </c>
      <c r="D43" s="12" t="str">
        <f>'키생성과정(Key Scheduling)'!O28</f>
        <v>f2</v>
      </c>
      <c r="E43" s="12" t="str">
        <f>'키생성과정(Key Scheduling)'!P28</f>
        <v>43</v>
      </c>
      <c r="F43" s="12" t="str">
        <f>'키생성과정(Key Scheduling)'!Q28</f>
        <v>7a</v>
      </c>
      <c r="G43" s="12" t="str">
        <f>'키생성과정(Key Scheduling)'!R28</f>
        <v>7f</v>
      </c>
      <c r="I43" s="1">
        <v>3</v>
      </c>
      <c r="J43" s="1" t="str">
        <f ca="1">IF(LEN(DEC2HEX(_xlfn.BITXOR(HEX2DEC(P36),HEX2DEC(D43))))=1, "0"&amp;DEC2HEX(_xlfn.BITXOR(HEX2DEC(P36),HEX2DEC(D43))), DEC2HEX(_xlfn.BITXOR(HEX2DEC(P36),HEX2DEC(D43))))</f>
        <v>03</v>
      </c>
      <c r="K43" s="1" t="str">
        <f ca="1">LOWER(DEC2HEX(_xlfn.BITXOR(HEX2DEC(Q36),HEX2DEC(E43))))</f>
        <v>ef</v>
      </c>
      <c r="L43" s="1" t="str">
        <f ca="1">LOWER(DEC2HEX(_xlfn.BITXOR(HEX2DEC(R36),HEX2DEC(F43))))</f>
        <v>d2</v>
      </c>
      <c r="M43" s="1" t="str">
        <f ca="1">LOWER(DEC2HEX(_xlfn.BITXOR(HEX2DEC(S36),HEX2DEC(G43))))</f>
        <v>9a</v>
      </c>
      <c r="U43" s="29"/>
      <c r="V43" s="29"/>
      <c r="W43" s="29"/>
      <c r="X43" s="12" t="str">
        <f ca="1">DEC2HEX(_xlfn.BITXOR(HEX2DEC(X41),HEX2DEC(X42)))</f>
        <v>50</v>
      </c>
      <c r="Y43" s="28"/>
      <c r="Z43" s="29"/>
      <c r="AA43" s="29"/>
      <c r="AB43" s="29"/>
      <c r="AC43" s="12" t="str">
        <f ca="1">DEC2HEX(_xlfn.BITXOR(HEX2DEC(AC41),HEX2DEC(AC42)))</f>
        <v>E9</v>
      </c>
      <c r="AE43" s="29"/>
      <c r="AF43" s="29"/>
      <c r="AG43" s="29"/>
      <c r="AH43" s="12" t="str">
        <f ca="1">DEC2HEX(_xlfn.BITXOR(HEX2DEC(AH41),HEX2DEC(AH42)))</f>
        <v>8</v>
      </c>
      <c r="AI43" s="9"/>
      <c r="AJ43" s="29"/>
      <c r="AK43" s="29"/>
      <c r="AL43" s="29"/>
      <c r="AM43" s="12" t="str">
        <f ca="1">DEC2HEX(_xlfn.BITXOR(HEX2DEC(AM41),HEX2DEC(AM42)))</f>
        <v>34</v>
      </c>
      <c r="AN43" s="9"/>
      <c r="AO43" s="29"/>
      <c r="AP43" s="29"/>
      <c r="AQ43" s="29"/>
      <c r="AR43" s="12" t="str">
        <f ca="1">DEC2HEX(_xlfn.BITXOR(HEX2DEC(AR41),HEX2DEC(AR42)))</f>
        <v>4D</v>
      </c>
      <c r="AS43" s="28"/>
      <c r="AT43" s="29"/>
      <c r="AU43" s="29"/>
      <c r="AV43" s="29"/>
      <c r="AW43" s="12" t="str">
        <f ca="1">DEC2HEX(_xlfn.BITXOR(HEX2DEC(AW41),HEX2DEC(AW42)))</f>
        <v>80</v>
      </c>
      <c r="AY43" s="29"/>
      <c r="AZ43" s="29"/>
      <c r="BA43" s="29"/>
      <c r="BB43" s="12" t="str">
        <f ca="1">DEC2HEX(_xlfn.BITXOR(HEX2DEC(BB41),HEX2DEC(BB42)))</f>
        <v>8</v>
      </c>
      <c r="BC43" s="9"/>
      <c r="BD43" s="29"/>
      <c r="BE43" s="29"/>
      <c r="BF43" s="29"/>
      <c r="BG43" s="12" t="str">
        <f ca="1">DEC2HEX(_xlfn.BITXOR(HEX2DEC(BG41),HEX2DEC(BG42)))</f>
        <v>2E</v>
      </c>
    </row>
    <row r="44" spans="3:59" x14ac:dyDescent="0.4">
      <c r="U44" s="12"/>
      <c r="V44" s="12"/>
      <c r="W44" s="33" t="str">
        <f ca="1">DEC2HEX(_xlfn.BITXOR(_xlfn.BITXOR(_xlfn.BITXOR(HEX2DEC(U$37),HEX2DEC(V$38)),HEX2DEC(W$40)),HEX2DEC(X$43)))</f>
        <v>81</v>
      </c>
      <c r="X44" s="12"/>
      <c r="Y44" s="8"/>
      <c r="Z44" s="12"/>
      <c r="AA44" s="12"/>
      <c r="AB44" s="33" t="str">
        <f ca="1">DEC2HEX(_xlfn.BITXOR(_xlfn.BITXOR(_xlfn.BITXOR(HEX2DEC(Z37),HEX2DEC(AA38)),HEX2DEC(AB40)),HEX2DEC(AC43)))</f>
        <v>19</v>
      </c>
      <c r="AC44" s="12"/>
      <c r="AE44" s="12"/>
      <c r="AF44" s="12"/>
      <c r="AG44" s="33" t="str">
        <f ca="1">LOWER(DEC2HEX(_xlfn.BITXOR(_xlfn.BITXOR(_xlfn.BITXOR(HEX2DEC(AE37),HEX2DEC(AF38)),HEX2DEC(AG40)),HEX2DEC(AH43))))</f>
        <v>d3</v>
      </c>
      <c r="AH44" s="12"/>
      <c r="AI44" s="9"/>
      <c r="AJ44" s="12"/>
      <c r="AK44" s="12"/>
      <c r="AL44" s="33" t="str">
        <f ca="1">DEC2HEX(_xlfn.BITXOR(_xlfn.BITXOR(_xlfn.BITXOR(HEX2DEC(AJ37),HEX2DEC(AK38)),HEX2DEC(AL40)),HEX2DEC(AM43)))</f>
        <v>26</v>
      </c>
      <c r="AM44" s="12"/>
      <c r="AN44" s="9"/>
      <c r="AO44" s="12"/>
      <c r="AP44" s="12"/>
      <c r="AQ44" s="33" t="str">
        <f ca="1">LOWER(DEC2HEX(_xlfn.BITXOR(_xlfn.BITXOR(_xlfn.BITXOR(HEX2DEC(AO$37),HEX2DEC(AP$38)),HEX2DEC(AQ$40)),HEX2DEC(AR$43))))</f>
        <v>ca</v>
      </c>
      <c r="AR44" s="12"/>
      <c r="AS44" s="8"/>
      <c r="AT44" s="12"/>
      <c r="AU44" s="12"/>
      <c r="AV44" s="33" t="str">
        <f ca="1">LOWER(DEC2HEX(_xlfn.BITXOR(_xlfn.BITXOR(_xlfn.BITXOR(HEX2DEC(AT37),HEX2DEC(AU38)),HEX2DEC(AV40)),HEX2DEC(AW43))))</f>
        <v>5a</v>
      </c>
      <c r="AW44" s="12"/>
      <c r="AY44" s="12"/>
      <c r="AZ44" s="12"/>
      <c r="BA44" s="33" t="str">
        <f ca="1">LOWER(DEC2HEX(_xlfn.BITXOR(_xlfn.BITXOR(_xlfn.BITXOR(HEX2DEC(AY37),HEX2DEC(AZ38)),HEX2DEC(BA40)),HEX2DEC(BB43))))</f>
        <v>ca</v>
      </c>
      <c r="BB44" s="12"/>
      <c r="BC44" s="9"/>
      <c r="BD44" s="12"/>
      <c r="BE44" s="12"/>
      <c r="BF44" s="33" t="str">
        <f ca="1">LOWER(DEC2HEX(_xlfn.BITXOR(_xlfn.BITXOR(_xlfn.BITXOR(HEX2DEC(BD37),HEX2DEC(BE38)),HEX2DEC(BF40)),HEX2DEC(BG43))))</f>
        <v>b0</v>
      </c>
      <c r="BG44" s="12"/>
    </row>
    <row r="45" spans="3:59" ht="21" x14ac:dyDescent="0.4">
      <c r="C45" s="25" t="s">
        <v>344</v>
      </c>
      <c r="D45" s="26"/>
      <c r="U45" s="30" t="str">
        <f ca="1">$J$18</f>
        <v>d4</v>
      </c>
      <c r="V45" s="30" t="str">
        <f ca="1">$J$19</f>
        <v>bf</v>
      </c>
      <c r="W45" s="30" t="str">
        <f ca="1">$J$20</f>
        <v>5d</v>
      </c>
      <c r="X45" s="30" t="str">
        <f ca="1">$J$21</f>
        <v>30</v>
      </c>
      <c r="Y45" s="8"/>
      <c r="Z45" s="30" t="str">
        <f ca="1">$K$18</f>
        <v>e0</v>
      </c>
      <c r="AA45" s="30" t="str">
        <f ca="1">$K$19</f>
        <v>b4</v>
      </c>
      <c r="AB45" s="30" t="str">
        <f ca="1">$K$20</f>
        <v>52</v>
      </c>
      <c r="AC45" s="30" t="str">
        <f ca="1">$K$21</f>
        <v>ae</v>
      </c>
      <c r="AE45" s="30" t="str">
        <f ca="1">$L$18</f>
        <v>b8</v>
      </c>
      <c r="AF45" s="30" t="str">
        <f ca="1">$L$19</f>
        <v>41</v>
      </c>
      <c r="AG45" s="30" t="str">
        <f ca="1">$L$20</f>
        <v>11</v>
      </c>
      <c r="AH45" s="30" t="str">
        <f ca="1">$L$21</f>
        <v>f1</v>
      </c>
      <c r="AI45" s="9"/>
      <c r="AJ45" s="30" t="str">
        <f ca="1">$M$18</f>
        <v>1e</v>
      </c>
      <c r="AK45" s="30" t="str">
        <f ca="1">$M$19</f>
        <v>27</v>
      </c>
      <c r="AL45" s="30" t="str">
        <f ca="1">$M$20</f>
        <v>98</v>
      </c>
      <c r="AM45" s="30" t="str">
        <f ca="1">$M$21</f>
        <v>e5</v>
      </c>
      <c r="AN45" s="9"/>
      <c r="AO45" s="30" t="str">
        <f ca="1">$J$33</f>
        <v>49</v>
      </c>
      <c r="AP45" s="30" t="str">
        <f ca="1">$J$34</f>
        <v>db</v>
      </c>
      <c r="AQ45" s="30" t="str">
        <f ca="1">$J$35</f>
        <v>87</v>
      </c>
      <c r="AR45" s="30" t="str">
        <f ca="1">$J$36</f>
        <v>3b</v>
      </c>
      <c r="AS45" s="8"/>
      <c r="AT45" s="30" t="str">
        <f ca="1">$K$33</f>
        <v>45</v>
      </c>
      <c r="AU45" s="30" t="str">
        <f ca="1">$K$34</f>
        <v>39</v>
      </c>
      <c r="AV45" s="30" t="str">
        <f ca="1">$K$35</f>
        <v>53</v>
      </c>
      <c r="AW45" s="30" t="str">
        <f ca="1">$K$36</f>
        <v>89</v>
      </c>
      <c r="AY45" s="30" t="str">
        <f ca="1">$L$33</f>
        <v>7f</v>
      </c>
      <c r="AZ45" s="30" t="str">
        <f ca="1">$L$34</f>
        <v>02</v>
      </c>
      <c r="BA45" s="30" t="str">
        <f ca="1">$L$35</f>
        <v>d2</v>
      </c>
      <c r="BB45" s="30" t="str">
        <f ca="1">$L$36</f>
        <v>f1</v>
      </c>
      <c r="BC45" s="9"/>
      <c r="BD45" s="30" t="str">
        <f ca="1">$M$33</f>
        <v>77</v>
      </c>
      <c r="BE45" s="30" t="str">
        <f ca="1">$M$34</f>
        <v>de</v>
      </c>
      <c r="BF45" s="30" t="str">
        <f ca="1">$M$35</f>
        <v>96</v>
      </c>
      <c r="BG45" s="30" t="str">
        <f ca="1">$M$36</f>
        <v>1a</v>
      </c>
    </row>
    <row r="46" spans="3:59" ht="21" x14ac:dyDescent="0.4">
      <c r="C46" s="26" t="s">
        <v>345</v>
      </c>
      <c r="D46" s="26"/>
      <c r="U46" s="30" t="str">
        <f ca="1">U45</f>
        <v>d4</v>
      </c>
      <c r="V46" s="12"/>
      <c r="W46" s="12"/>
      <c r="X46" s="12"/>
      <c r="Y46" s="8"/>
      <c r="Z46" s="30" t="str">
        <f ca="1">Z45</f>
        <v>e0</v>
      </c>
      <c r="AA46" s="12"/>
      <c r="AB46" s="12"/>
      <c r="AC46" s="12"/>
      <c r="AE46" s="30" t="str">
        <f ca="1">AE45</f>
        <v>b8</v>
      </c>
      <c r="AF46" s="12"/>
      <c r="AG46" s="12"/>
      <c r="AH46" s="12"/>
      <c r="AI46" s="9"/>
      <c r="AJ46" s="30" t="str">
        <f ca="1">AJ45</f>
        <v>1e</v>
      </c>
      <c r="AK46" s="12"/>
      <c r="AL46" s="12"/>
      <c r="AM46" s="12"/>
      <c r="AN46" s="9"/>
      <c r="AO46" s="30" t="str">
        <f ca="1">AO45</f>
        <v>49</v>
      </c>
      <c r="AP46" s="12"/>
      <c r="AQ46" s="12"/>
      <c r="AR46" s="12"/>
      <c r="AS46" s="8"/>
      <c r="AT46" s="30" t="str">
        <f ca="1">AT45</f>
        <v>45</v>
      </c>
      <c r="AU46" s="12"/>
      <c r="AV46" s="12"/>
      <c r="AW46" s="12"/>
      <c r="AY46" s="30" t="str">
        <f ca="1">AY45</f>
        <v>7f</v>
      </c>
      <c r="AZ46" s="12"/>
      <c r="BA46" s="12"/>
      <c r="BB46" s="12"/>
      <c r="BC46" s="9"/>
      <c r="BD46" s="30" t="str">
        <f ca="1">BD45</f>
        <v>77</v>
      </c>
      <c r="BE46" s="12"/>
      <c r="BF46" s="12"/>
      <c r="BG46" s="12"/>
    </row>
    <row r="47" spans="3:59" ht="21" x14ac:dyDescent="0.4">
      <c r="C47" s="26" t="s">
        <v>346</v>
      </c>
      <c r="U47" s="12" t="str">
        <f ca="1">IF(HEX2DEC(U46)&gt;127,DEC2HEX(_xlfn.BITXOR(_xlfn.BITLSHIFT(HEX2DEC(U46)-128,1),HEX2DEC("1B"))),DEC2HEX(_xlfn.BITLSHIFT(HEX2DEC(U46),1)))</f>
        <v>B3</v>
      </c>
      <c r="V47" s="12"/>
      <c r="W47" s="12"/>
      <c r="X47" s="12"/>
      <c r="Y47" s="8"/>
      <c r="Z47" s="12" t="str">
        <f ca="1">IF(HEX2DEC(Z46)&gt;127,DEC2HEX(_xlfn.BITXOR(_xlfn.BITLSHIFT(HEX2DEC(Z46)-128,1),HEX2DEC("1B"))),DEC2HEX(_xlfn.BITLSHIFT(HEX2DEC(Z46),1)))</f>
        <v>DB</v>
      </c>
      <c r="AA47" s="12"/>
      <c r="AB47" s="12"/>
      <c r="AC47" s="12"/>
      <c r="AE47" s="12" t="str">
        <f ca="1">IF(HEX2DEC(AE46)&gt;127,DEC2HEX(_xlfn.BITXOR(_xlfn.BITLSHIFT(HEX2DEC(AE46)-128,1),HEX2DEC("1B"))),DEC2HEX(_xlfn.BITLSHIFT(HEX2DEC(AE46),1)))</f>
        <v>6B</v>
      </c>
      <c r="AF47" s="12"/>
      <c r="AG47" s="12"/>
      <c r="AH47" s="12"/>
      <c r="AI47" s="9"/>
      <c r="AJ47" s="12" t="str">
        <f ca="1">IF(HEX2DEC(AJ46)&gt;127,DEC2HEX(_xlfn.BITXOR(_xlfn.BITLSHIFT(HEX2DEC(AJ46)-128,1),HEX2DEC("1B"))),DEC2HEX(_xlfn.BITLSHIFT(HEX2DEC(AJ46),1)))</f>
        <v>3C</v>
      </c>
      <c r="AK47" s="12"/>
      <c r="AL47" s="12"/>
      <c r="AM47" s="12"/>
      <c r="AN47" s="9"/>
      <c r="AO47" s="12" t="str">
        <f ca="1">IF(HEX2DEC(AO46)&gt;127,DEC2HEX(_xlfn.BITXOR(_xlfn.BITLSHIFT(HEX2DEC(AO46)-128,1),HEX2DEC("1B"))),DEC2HEX(_xlfn.BITLSHIFT(HEX2DEC(AO46),1)))</f>
        <v>92</v>
      </c>
      <c r="AP47" s="12"/>
      <c r="AQ47" s="12"/>
      <c r="AR47" s="12"/>
      <c r="AS47" s="8"/>
      <c r="AT47" s="12" t="str">
        <f ca="1">IF(HEX2DEC(AT46)&gt;127,DEC2HEX(_xlfn.BITXOR(_xlfn.BITLSHIFT(HEX2DEC(AT46)-128,1),HEX2DEC("1B"))),DEC2HEX(_xlfn.BITLSHIFT(HEX2DEC(AT46),1)))</f>
        <v>8A</v>
      </c>
      <c r="AU47" s="12"/>
      <c r="AV47" s="12"/>
      <c r="AW47" s="12"/>
      <c r="AY47" s="12" t="str">
        <f ca="1">IF(HEX2DEC(AY46)&gt;127,DEC2HEX(_xlfn.BITXOR(_xlfn.BITLSHIFT(HEX2DEC(AY46)-128,1),HEX2DEC("1B"))),DEC2HEX(_xlfn.BITLSHIFT(HEX2DEC(AY46),1)))</f>
        <v>FE</v>
      </c>
      <c r="AZ47" s="12"/>
      <c r="BA47" s="12"/>
      <c r="BB47" s="12"/>
      <c r="BC47" s="9"/>
      <c r="BD47" s="12" t="str">
        <f ca="1">IF(HEX2DEC(BD46)&gt;127,DEC2HEX(_xlfn.BITXOR(_xlfn.BITLSHIFT(HEX2DEC(BD46)-128,1),HEX2DEC("1B"))),DEC2HEX(_xlfn.BITLSHIFT(HEX2DEC(BD46),1)))</f>
        <v>EE</v>
      </c>
      <c r="BE47" s="12"/>
      <c r="BF47" s="12"/>
      <c r="BG47" s="12"/>
    </row>
    <row r="48" spans="3:59" ht="21" x14ac:dyDescent="0.4">
      <c r="C48" s="26" t="s">
        <v>347</v>
      </c>
      <c r="U48" s="12" t="str">
        <f ca="1">DEC2HEX(_xlfn.BITXOR(HEX2DEC(U46),HEX2DEC(U47)))</f>
        <v>67</v>
      </c>
      <c r="V48" s="12"/>
      <c r="W48" s="12"/>
      <c r="X48" s="12"/>
      <c r="Y48" s="8"/>
      <c r="Z48" s="12" t="str">
        <f ca="1">DEC2HEX(_xlfn.BITXOR(HEX2DEC(Z46),HEX2DEC(Z47)))</f>
        <v>3B</v>
      </c>
      <c r="AA48" s="12"/>
      <c r="AB48" s="12"/>
      <c r="AC48" s="12"/>
      <c r="AE48" s="12" t="str">
        <f ca="1">DEC2HEX(_xlfn.BITXOR(HEX2DEC(AE46),HEX2DEC(AE47)))</f>
        <v>D3</v>
      </c>
      <c r="AF48" s="12"/>
      <c r="AG48" s="12"/>
      <c r="AH48" s="12"/>
      <c r="AI48" s="9"/>
      <c r="AJ48" s="12" t="str">
        <f ca="1">DEC2HEX(_xlfn.BITXOR(HEX2DEC(AJ46),HEX2DEC(AJ47)))</f>
        <v>22</v>
      </c>
      <c r="AK48" s="12"/>
      <c r="AL48" s="12"/>
      <c r="AM48" s="12"/>
      <c r="AN48" s="9"/>
      <c r="AO48" s="12" t="str">
        <f ca="1">DEC2HEX(_xlfn.BITXOR(HEX2DEC(AO46),HEX2DEC(AO47)))</f>
        <v>DB</v>
      </c>
      <c r="AP48" s="12"/>
      <c r="AQ48" s="12"/>
      <c r="AR48" s="12"/>
      <c r="AS48" s="8"/>
      <c r="AT48" s="12" t="str">
        <f ca="1">DEC2HEX(_xlfn.BITXOR(HEX2DEC(AT46),HEX2DEC(AT47)))</f>
        <v>CF</v>
      </c>
      <c r="AU48" s="12"/>
      <c r="AV48" s="12"/>
      <c r="AW48" s="12"/>
      <c r="AY48" s="12" t="str">
        <f ca="1">DEC2HEX(_xlfn.BITXOR(HEX2DEC(AY46),HEX2DEC(AY47)))</f>
        <v>81</v>
      </c>
      <c r="AZ48" s="12"/>
      <c r="BA48" s="12"/>
      <c r="BB48" s="12"/>
      <c r="BC48" s="9"/>
      <c r="BD48" s="12" t="str">
        <f ca="1">DEC2HEX(_xlfn.BITXOR(HEX2DEC(BD46),HEX2DEC(BD47)))</f>
        <v>99</v>
      </c>
      <c r="BE48" s="12"/>
      <c r="BF48" s="12"/>
      <c r="BG48" s="12"/>
    </row>
    <row r="49" spans="3:59" ht="21" x14ac:dyDescent="0.4">
      <c r="C49" s="25" t="s">
        <v>348</v>
      </c>
      <c r="U49" s="12"/>
      <c r="V49" s="30" t="str">
        <f ca="1">V45</f>
        <v>bf</v>
      </c>
      <c r="W49" s="12"/>
      <c r="X49" s="12"/>
      <c r="Y49" s="8"/>
      <c r="Z49" s="12"/>
      <c r="AA49" s="30" t="str">
        <f ca="1">AA45</f>
        <v>b4</v>
      </c>
      <c r="AB49" s="12"/>
      <c r="AC49" s="12"/>
      <c r="AE49" s="12"/>
      <c r="AF49" s="30" t="str">
        <f ca="1">AF45</f>
        <v>41</v>
      </c>
      <c r="AG49" s="12"/>
      <c r="AH49" s="12"/>
      <c r="AI49" s="9"/>
      <c r="AJ49" s="12"/>
      <c r="AK49" s="30" t="str">
        <f ca="1">AK45</f>
        <v>27</v>
      </c>
      <c r="AL49" s="12"/>
      <c r="AM49" s="12"/>
      <c r="AN49" s="9"/>
      <c r="AO49" s="12"/>
      <c r="AP49" s="30" t="str">
        <f ca="1">AP45</f>
        <v>db</v>
      </c>
      <c r="AQ49" s="12"/>
      <c r="AR49" s="12"/>
      <c r="AS49" s="8"/>
      <c r="AT49" s="12"/>
      <c r="AU49" s="30" t="str">
        <f ca="1">AU45</f>
        <v>39</v>
      </c>
      <c r="AV49" s="12"/>
      <c r="AW49" s="12"/>
      <c r="AY49" s="12"/>
      <c r="AZ49" s="30" t="str">
        <f ca="1">AZ45</f>
        <v>02</v>
      </c>
      <c r="BA49" s="12"/>
      <c r="BB49" s="12"/>
      <c r="BC49" s="9"/>
      <c r="BD49" s="12"/>
      <c r="BE49" s="30" t="str">
        <f ca="1">BE45</f>
        <v>de</v>
      </c>
      <c r="BF49" s="12"/>
      <c r="BG49" s="12"/>
    </row>
    <row r="50" spans="3:59" ht="21" x14ac:dyDescent="0.4">
      <c r="C50" s="25" t="s">
        <v>349</v>
      </c>
      <c r="U50" s="12"/>
      <c r="W50" s="30" t="str">
        <f ca="1">W45</f>
        <v>5d</v>
      </c>
      <c r="X50" s="12"/>
      <c r="Y50" s="8"/>
      <c r="Z50" s="12"/>
      <c r="AA50" s="12"/>
      <c r="AB50" s="30" t="str">
        <f ca="1">AB45</f>
        <v>52</v>
      </c>
      <c r="AC50" s="12"/>
      <c r="AE50" s="12"/>
      <c r="AF50" s="12"/>
      <c r="AG50" s="30" t="str">
        <f ca="1">AG45</f>
        <v>11</v>
      </c>
      <c r="AH50" s="12"/>
      <c r="AI50" s="9"/>
      <c r="AJ50" s="12"/>
      <c r="AK50" s="12"/>
      <c r="AL50" s="30" t="str">
        <f ca="1">AL45</f>
        <v>98</v>
      </c>
      <c r="AM50" s="12"/>
      <c r="AN50" s="9"/>
      <c r="AO50" s="12"/>
      <c r="AQ50" s="30" t="str">
        <f ca="1">AQ45</f>
        <v>87</v>
      </c>
      <c r="AR50" s="12"/>
      <c r="AS50" s="8"/>
      <c r="AT50" s="12"/>
      <c r="AU50" s="12"/>
      <c r="AV50" s="30" t="str">
        <f ca="1">AV45</f>
        <v>53</v>
      </c>
      <c r="AW50" s="12"/>
      <c r="AY50" s="12"/>
      <c r="AZ50" s="12"/>
      <c r="BA50" s="30" t="str">
        <f ca="1">BA45</f>
        <v>d2</v>
      </c>
      <c r="BB50" s="12"/>
      <c r="BC50" s="9"/>
      <c r="BD50" s="12"/>
      <c r="BE50" s="12"/>
      <c r="BF50" s="30" t="str">
        <f ca="1">BF45</f>
        <v>96</v>
      </c>
      <c r="BG50" s="12"/>
    </row>
    <row r="51" spans="3:59" ht="21" x14ac:dyDescent="0.4">
      <c r="C51" s="25" t="s">
        <v>351</v>
      </c>
      <c r="U51" s="12"/>
      <c r="V51" s="12"/>
      <c r="W51" s="12"/>
      <c r="X51" s="30" t="str">
        <f ca="1">X45</f>
        <v>30</v>
      </c>
      <c r="Y51" s="8"/>
      <c r="Z51" s="12"/>
      <c r="AA51" s="12"/>
      <c r="AB51" s="12"/>
      <c r="AC51" s="30" t="str">
        <f ca="1">AC45</f>
        <v>ae</v>
      </c>
      <c r="AE51" s="12"/>
      <c r="AF51" s="12"/>
      <c r="AG51" s="12"/>
      <c r="AH51" s="30" t="str">
        <f ca="1">AH45</f>
        <v>f1</v>
      </c>
      <c r="AI51" s="9"/>
      <c r="AJ51" s="12"/>
      <c r="AK51" s="12"/>
      <c r="AL51" s="12"/>
      <c r="AM51" s="30" t="str">
        <f ca="1">AM45</f>
        <v>e5</v>
      </c>
      <c r="AN51" s="9"/>
      <c r="AO51" s="12"/>
      <c r="AP51" s="12"/>
      <c r="AQ51" s="12"/>
      <c r="AR51" s="30" t="str">
        <f ca="1">AR45</f>
        <v>3b</v>
      </c>
      <c r="AS51" s="8"/>
      <c r="AT51" s="12"/>
      <c r="AU51" s="12"/>
      <c r="AV51" s="12"/>
      <c r="AW51" s="30" t="str">
        <f ca="1">AW45</f>
        <v>89</v>
      </c>
      <c r="AY51" s="12"/>
      <c r="AZ51" s="12"/>
      <c r="BA51" s="12"/>
      <c r="BB51" s="30" t="str">
        <f ca="1">BB45</f>
        <v>f1</v>
      </c>
      <c r="BC51" s="9"/>
      <c r="BD51" s="12"/>
      <c r="BE51" s="12"/>
      <c r="BF51" s="12"/>
      <c r="BG51" s="30" t="str">
        <f ca="1">BG45</f>
        <v>1a</v>
      </c>
    </row>
    <row r="52" spans="3:59" ht="21" x14ac:dyDescent="0.4">
      <c r="C52" s="25" t="s">
        <v>350</v>
      </c>
      <c r="U52" s="12"/>
      <c r="V52" s="12"/>
      <c r="W52" s="12"/>
      <c r="X52" s="12" t="str">
        <f ca="1">IF(HEX2DEC(X51)&gt;127,DEC2HEX(_xlfn.BITXOR(_xlfn.BITLSHIFT(HEX2DEC(X51)-128,1),HEX2DEC("1B"))),DEC2HEX(_xlfn.BITLSHIFT(HEX2DEC(X51),1)))</f>
        <v>60</v>
      </c>
      <c r="Y52" s="8"/>
      <c r="Z52" s="12"/>
      <c r="AA52" s="12"/>
      <c r="AB52" s="12"/>
      <c r="AC52" s="12" t="str">
        <f ca="1">IF(HEX2DEC(AC51)&gt;127,DEC2HEX(_xlfn.BITXOR(_xlfn.BITLSHIFT(HEX2DEC(AC51)-128,1),HEX2DEC("1B"))),DEC2HEX(_xlfn.BITLSHIFT(HEX2DEC(AC51),1)))</f>
        <v>47</v>
      </c>
      <c r="AE52" s="12"/>
      <c r="AF52" s="12"/>
      <c r="AG52" s="12"/>
      <c r="AH52" s="12" t="str">
        <f ca="1">IF(HEX2DEC(AH51)&gt;127,DEC2HEX(_xlfn.BITXOR(_xlfn.BITLSHIFT(HEX2DEC(AH51)-128,1),HEX2DEC("1B"))),DEC2HEX(_xlfn.BITLSHIFT(HEX2DEC(AH51),1)))</f>
        <v>F9</v>
      </c>
      <c r="AI52" s="9"/>
      <c r="AJ52" s="12"/>
      <c r="AK52" s="12"/>
      <c r="AL52" s="12"/>
      <c r="AM52" s="12" t="str">
        <f ca="1">IF(HEX2DEC(AM51)&gt;127,DEC2HEX(_xlfn.BITXOR(_xlfn.BITLSHIFT(HEX2DEC(AM51)-128,1),HEX2DEC("1B"))),DEC2HEX(_xlfn.BITLSHIFT(HEX2DEC(AM51),1)))</f>
        <v>D1</v>
      </c>
      <c r="AN52" s="9"/>
      <c r="AO52" s="12"/>
      <c r="AP52" s="12"/>
      <c r="AQ52" s="12"/>
      <c r="AR52" s="12" t="str">
        <f ca="1">IF(HEX2DEC(AR51)&gt;127,DEC2HEX(_xlfn.BITXOR(_xlfn.BITLSHIFT(HEX2DEC(AR51)-128,1),HEX2DEC("1B"))),DEC2HEX(_xlfn.BITLSHIFT(HEX2DEC(AR51),1)))</f>
        <v>76</v>
      </c>
      <c r="AS52" s="8"/>
      <c r="AT52" s="12"/>
      <c r="AU52" s="12"/>
      <c r="AV52" s="12"/>
      <c r="AW52" s="12" t="str">
        <f ca="1">IF(HEX2DEC(AW51)&gt;127,DEC2HEX(_xlfn.BITXOR(_xlfn.BITLSHIFT(HEX2DEC(AW51)-128,1),HEX2DEC("1B"))),DEC2HEX(_xlfn.BITLSHIFT(HEX2DEC(AW51),1)))</f>
        <v>9</v>
      </c>
      <c r="AY52" s="12"/>
      <c r="AZ52" s="12"/>
      <c r="BA52" s="12"/>
      <c r="BB52" s="12" t="str">
        <f ca="1">IF(HEX2DEC(BB51)&gt;127,DEC2HEX(_xlfn.BITXOR(_xlfn.BITLSHIFT(HEX2DEC(BB51)-128,1),HEX2DEC("1B"))),DEC2HEX(_xlfn.BITLSHIFT(HEX2DEC(BB51),1)))</f>
        <v>F9</v>
      </c>
      <c r="BC52" s="9"/>
      <c r="BD52" s="12"/>
      <c r="BE52" s="12"/>
      <c r="BF52" s="12"/>
      <c r="BG52" s="12" t="str">
        <f ca="1">IF(HEX2DEC(BG51)&gt;127,DEC2HEX(_xlfn.BITXOR(_xlfn.BITLSHIFT(HEX2DEC(BG51)-128,1),HEX2DEC("1B"))),DEC2HEX(_xlfn.BITLSHIFT(HEX2DEC(BG51),1)))</f>
        <v>34</v>
      </c>
    </row>
    <row r="53" spans="3:59" ht="21" x14ac:dyDescent="0.4">
      <c r="C53" s="25" t="s">
        <v>352</v>
      </c>
      <c r="U53" s="12"/>
      <c r="V53" s="12"/>
      <c r="W53" s="12"/>
      <c r="X53" s="33" t="str">
        <f ca="1">LOWER(DEC2HEX(_xlfn.BITXOR(_xlfn.BITXOR(_xlfn.BITXOR(HEX2DEC(U$48),HEX2DEC(V$49)),HEX2DEC(W$50)),HEX2DEC(X$52))))</f>
        <v>e5</v>
      </c>
      <c r="Y53" s="8"/>
      <c r="Z53" s="12"/>
      <c r="AA53" s="12"/>
      <c r="AB53" s="12"/>
      <c r="AC53" s="33" t="str">
        <f ca="1">LOWER(DEC2HEX(_xlfn.BITXOR(_xlfn.BITXOR(_xlfn.BITXOR(HEX2DEC(Z48),HEX2DEC(AA49)),HEX2DEC(AB50)),HEX2DEC(AC52))))</f>
        <v>9a</v>
      </c>
      <c r="AE53" s="12"/>
      <c r="AF53" s="12"/>
      <c r="AG53" s="12"/>
      <c r="AH53" s="33" t="str">
        <f ca="1">LOWER(DEC2HEX(_xlfn.BITXOR(_xlfn.BITXOR(_xlfn.BITXOR(HEX2DEC(AE48),HEX2DEC(AF49)),HEX2DEC(AG50)),HEX2DEC(AH52))))</f>
        <v>7a</v>
      </c>
      <c r="AI53" s="9"/>
      <c r="AJ53" s="12"/>
      <c r="AK53" s="12"/>
      <c r="AL53" s="12"/>
      <c r="AM53" s="33" t="str">
        <f ca="1">LOWER(DEC2HEX(_xlfn.BITXOR(_xlfn.BITXOR(_xlfn.BITXOR(HEX2DEC(AJ48),HEX2DEC(AK49)),HEX2DEC(AL50)),HEX2DEC(AM52))))</f>
        <v>4c</v>
      </c>
      <c r="AN53" s="9"/>
      <c r="AO53" s="12"/>
      <c r="AP53" s="12"/>
      <c r="AQ53" s="12"/>
      <c r="AR53" s="33" t="str">
        <f ca="1">LOWER(DEC2HEX(_xlfn.BITXOR(_xlfn.BITXOR(_xlfn.BITXOR(HEX2DEC(AO$48),HEX2DEC(AP$49)),HEX2DEC(AQ$50)),HEX2DEC(AR$52))))</f>
        <v>f1</v>
      </c>
      <c r="AS53" s="8"/>
      <c r="AT53" s="12"/>
      <c r="AU53" s="12"/>
      <c r="AV53" s="12"/>
      <c r="AW53" s="33" t="str">
        <f ca="1">LOWER(DEC2HEX(_xlfn.BITXOR(_xlfn.BITXOR(_xlfn.BITXOR(HEX2DEC(AT48),HEX2DEC(AU49)),HEX2DEC(AV50)),HEX2DEC(AW52))))</f>
        <v>ac</v>
      </c>
      <c r="AY53" s="12"/>
      <c r="AZ53" s="12"/>
      <c r="BA53" s="12"/>
      <c r="BB53" s="33" t="str">
        <f ca="1">LOWER(DEC2HEX(_xlfn.BITXOR(_xlfn.BITXOR(_xlfn.BITXOR(HEX2DEC(AY48),HEX2DEC(AZ49)),HEX2DEC(BA50)),HEX2DEC(BB52))))</f>
        <v>a8</v>
      </c>
      <c r="BC53" s="9"/>
      <c r="BD53" s="12"/>
      <c r="BE53" s="12"/>
      <c r="BF53" s="12"/>
      <c r="BG53" s="33" t="str">
        <f ca="1">LOWER(DEC2HEX(_xlfn.BITXOR(_xlfn.BITXOR(_xlfn.BITXOR(HEX2DEC(BD48),HEX2DEC(BE49)),HEX2DEC(BF50)),HEX2DEC(BG52))))</f>
        <v>e5</v>
      </c>
    </row>
    <row r="54" spans="3:59" ht="21" x14ac:dyDescent="0.4">
      <c r="C54" s="25" t="s">
        <v>353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</row>
  </sheetData>
  <mergeCells count="4">
    <mergeCell ref="AO16:BG16"/>
    <mergeCell ref="C8:G8"/>
    <mergeCell ref="I8:M8"/>
    <mergeCell ref="U16:AM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20"/>
  <sheetViews>
    <sheetView topLeftCell="A3" workbookViewId="0">
      <selection activeCell="D5" sqref="D5"/>
    </sheetView>
  </sheetViews>
  <sheetFormatPr defaultRowHeight="17.399999999999999" x14ac:dyDescent="0.4"/>
  <cols>
    <col min="1" max="1" width="1.59765625" customWidth="1"/>
    <col min="2" max="19" width="3.59765625" customWidth="1"/>
  </cols>
  <sheetData>
    <row r="2" spans="2:21" ht="21" x14ac:dyDescent="0.4">
      <c r="B2" s="7" t="s">
        <v>38</v>
      </c>
    </row>
    <row r="3" spans="2:21" x14ac:dyDescent="0.4">
      <c r="B3" s="38" t="s">
        <v>311</v>
      </c>
      <c r="C3" s="38"/>
      <c r="D3" s="38" t="s">
        <v>53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U3" s="2" t="s">
        <v>315</v>
      </c>
    </row>
    <row r="4" spans="2:21" x14ac:dyDescent="0.4">
      <c r="B4" s="38"/>
      <c r="C4" s="38"/>
      <c r="D4" s="16">
        <v>0</v>
      </c>
      <c r="E4" s="16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 t="s">
        <v>41</v>
      </c>
      <c r="O4" s="16" t="s">
        <v>42</v>
      </c>
      <c r="P4" s="16" t="s">
        <v>43</v>
      </c>
      <c r="Q4" s="16" t="s">
        <v>44</v>
      </c>
      <c r="R4" s="16" t="s">
        <v>45</v>
      </c>
      <c r="S4" s="16" t="s">
        <v>46</v>
      </c>
    </row>
    <row r="5" spans="2:21" x14ac:dyDescent="0.4">
      <c r="B5" s="38" t="s">
        <v>54</v>
      </c>
      <c r="C5" s="16">
        <v>0</v>
      </c>
      <c r="D5" s="14" t="s">
        <v>211</v>
      </c>
      <c r="E5" s="14" t="s">
        <v>55</v>
      </c>
      <c r="F5" s="14" t="s">
        <v>212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  <c r="L5" s="14" t="s">
        <v>213</v>
      </c>
      <c r="M5" s="14" t="s">
        <v>214</v>
      </c>
      <c r="N5" s="14" t="s">
        <v>215</v>
      </c>
      <c r="O5" s="14" t="s">
        <v>61</v>
      </c>
      <c r="P5" s="14" t="s">
        <v>62</v>
      </c>
      <c r="Q5" s="14" t="s">
        <v>63</v>
      </c>
      <c r="R5" s="14" t="s">
        <v>64</v>
      </c>
      <c r="S5" s="14" t="s">
        <v>216</v>
      </c>
    </row>
    <row r="6" spans="2:21" x14ac:dyDescent="0.4">
      <c r="B6" s="38"/>
      <c r="C6" s="16">
        <v>1</v>
      </c>
      <c r="D6" s="14" t="s">
        <v>65</v>
      </c>
      <c r="E6" s="14" t="s">
        <v>217</v>
      </c>
      <c r="F6" s="14" t="s">
        <v>66</v>
      </c>
      <c r="G6" s="14" t="s">
        <v>67</v>
      </c>
      <c r="H6" s="14" t="s">
        <v>68</v>
      </c>
      <c r="I6" s="14" t="s">
        <v>218</v>
      </c>
      <c r="J6" s="14" t="s">
        <v>219</v>
      </c>
      <c r="K6" s="14" t="s">
        <v>69</v>
      </c>
      <c r="L6" s="14" t="s">
        <v>70</v>
      </c>
      <c r="M6" s="14" t="s">
        <v>71</v>
      </c>
      <c r="N6" s="14" t="s">
        <v>72</v>
      </c>
      <c r="O6" s="14" t="s">
        <v>73</v>
      </c>
      <c r="P6" s="14" t="s">
        <v>74</v>
      </c>
      <c r="Q6" s="14" t="s">
        <v>75</v>
      </c>
      <c r="R6" s="14" t="s">
        <v>220</v>
      </c>
      <c r="S6" s="14" t="s">
        <v>76</v>
      </c>
    </row>
    <row r="7" spans="2:21" x14ac:dyDescent="0.4">
      <c r="B7" s="38"/>
      <c r="C7" s="16">
        <v>2</v>
      </c>
      <c r="D7" s="14" t="s">
        <v>77</v>
      </c>
      <c r="E7" s="14" t="s">
        <v>78</v>
      </c>
      <c r="F7" s="14" t="s">
        <v>221</v>
      </c>
      <c r="G7" s="14" t="s">
        <v>222</v>
      </c>
      <c r="H7" s="14" t="s">
        <v>223</v>
      </c>
      <c r="I7" s="14" t="s">
        <v>79</v>
      </c>
      <c r="J7" s="14" t="s">
        <v>80</v>
      </c>
      <c r="K7" s="14" t="s">
        <v>81</v>
      </c>
      <c r="L7" s="14" t="s">
        <v>224</v>
      </c>
      <c r="M7" s="14" t="s">
        <v>82</v>
      </c>
      <c r="N7" s="14" t="s">
        <v>83</v>
      </c>
      <c r="O7" s="14" t="s">
        <v>84</v>
      </c>
      <c r="P7" s="14" t="s">
        <v>225</v>
      </c>
      <c r="Q7" s="14" t="s">
        <v>85</v>
      </c>
      <c r="R7" s="14" t="s">
        <v>226</v>
      </c>
      <c r="S7" s="14" t="s">
        <v>227</v>
      </c>
    </row>
    <row r="8" spans="2:21" x14ac:dyDescent="0.4">
      <c r="B8" s="38"/>
      <c r="C8" s="16">
        <v>3</v>
      </c>
      <c r="D8" s="14" t="s">
        <v>228</v>
      </c>
      <c r="E8" s="14" t="s">
        <v>86</v>
      </c>
      <c r="F8" s="14" t="s">
        <v>229</v>
      </c>
      <c r="G8" s="14" t="s">
        <v>87</v>
      </c>
      <c r="H8" s="14" t="s">
        <v>230</v>
      </c>
      <c r="I8" s="14" t="s">
        <v>231</v>
      </c>
      <c r="J8" s="14" t="s">
        <v>232</v>
      </c>
      <c r="K8" s="14" t="s">
        <v>88</v>
      </c>
      <c r="L8" s="14" t="s">
        <v>233</v>
      </c>
      <c r="M8" s="14" t="s">
        <v>234</v>
      </c>
      <c r="N8" s="14" t="s">
        <v>235</v>
      </c>
      <c r="O8" s="14" t="s">
        <v>89</v>
      </c>
      <c r="P8" s="14" t="s">
        <v>90</v>
      </c>
      <c r="Q8" s="14" t="s">
        <v>236</v>
      </c>
      <c r="R8" s="14" t="s">
        <v>91</v>
      </c>
      <c r="S8" s="14" t="s">
        <v>237</v>
      </c>
    </row>
    <row r="9" spans="2:21" x14ac:dyDescent="0.4">
      <c r="B9" s="38"/>
      <c r="C9" s="16">
        <v>4</v>
      </c>
      <c r="D9" s="14" t="s">
        <v>238</v>
      </c>
      <c r="E9" s="14" t="s">
        <v>239</v>
      </c>
      <c r="F9" s="14" t="s">
        <v>92</v>
      </c>
      <c r="G9" s="14" t="s">
        <v>93</v>
      </c>
      <c r="H9" s="14" t="s">
        <v>94</v>
      </c>
      <c r="I9" s="14" t="s">
        <v>95</v>
      </c>
      <c r="J9" s="14" t="s">
        <v>96</v>
      </c>
      <c r="K9" s="14" t="s">
        <v>97</v>
      </c>
      <c r="L9" s="14" t="s">
        <v>240</v>
      </c>
      <c r="M9" s="14" t="s">
        <v>98</v>
      </c>
      <c r="N9" s="14" t="s">
        <v>99</v>
      </c>
      <c r="O9" s="14" t="s">
        <v>100</v>
      </c>
      <c r="P9" s="14" t="s">
        <v>241</v>
      </c>
      <c r="Q9" s="14" t="s">
        <v>101</v>
      </c>
      <c r="R9" s="14" t="s">
        <v>102</v>
      </c>
      <c r="S9" s="14" t="s">
        <v>242</v>
      </c>
    </row>
    <row r="10" spans="2:21" x14ac:dyDescent="0.4">
      <c r="B10" s="38"/>
      <c r="C10" s="16">
        <v>5</v>
      </c>
      <c r="D10" s="14" t="s">
        <v>243</v>
      </c>
      <c r="E10" s="14" t="s">
        <v>103</v>
      </c>
      <c r="F10" s="14" t="s">
        <v>244</v>
      </c>
      <c r="G10" s="14" t="s">
        <v>104</v>
      </c>
      <c r="H10" s="14" t="s">
        <v>245</v>
      </c>
      <c r="I10" s="14" t="s">
        <v>105</v>
      </c>
      <c r="J10" s="14" t="s">
        <v>106</v>
      </c>
      <c r="K10" s="14" t="s">
        <v>107</v>
      </c>
      <c r="L10" s="14" t="s">
        <v>108</v>
      </c>
      <c r="M10" s="14" t="s">
        <v>109</v>
      </c>
      <c r="N10" s="14" t="s">
        <v>110</v>
      </c>
      <c r="O10" s="14" t="s">
        <v>246</v>
      </c>
      <c r="P10" s="14" t="s">
        <v>111</v>
      </c>
      <c r="Q10" s="14" t="s">
        <v>112</v>
      </c>
      <c r="R10" s="14" t="s">
        <v>247</v>
      </c>
      <c r="S10" s="14" t="s">
        <v>113</v>
      </c>
    </row>
    <row r="11" spans="2:21" x14ac:dyDescent="0.4">
      <c r="B11" s="38"/>
      <c r="C11" s="16">
        <v>6</v>
      </c>
      <c r="D11" s="14" t="s">
        <v>114</v>
      </c>
      <c r="E11" s="14" t="s">
        <v>115</v>
      </c>
      <c r="F11" s="14" t="s">
        <v>116</v>
      </c>
      <c r="G11" s="14" t="s">
        <v>117</v>
      </c>
      <c r="H11" s="14" t="s">
        <v>248</v>
      </c>
      <c r="I11" s="14" t="s">
        <v>118</v>
      </c>
      <c r="J11" s="14" t="s">
        <v>249</v>
      </c>
      <c r="K11" s="14" t="s">
        <v>250</v>
      </c>
      <c r="L11" s="14" t="s">
        <v>251</v>
      </c>
      <c r="M11" s="14" t="s">
        <v>119</v>
      </c>
      <c r="N11" s="14" t="s">
        <v>252</v>
      </c>
      <c r="O11" s="14" t="s">
        <v>120</v>
      </c>
      <c r="P11" s="14" t="s">
        <v>253</v>
      </c>
      <c r="Q11" s="14" t="s">
        <v>121</v>
      </c>
      <c r="R11" s="14" t="s">
        <v>122</v>
      </c>
      <c r="S11" s="14" t="s">
        <v>123</v>
      </c>
    </row>
    <row r="12" spans="2:21" x14ac:dyDescent="0.4">
      <c r="B12" s="38"/>
      <c r="C12" s="16">
        <v>7</v>
      </c>
      <c r="D12" s="14" t="s">
        <v>254</v>
      </c>
      <c r="E12" s="14" t="s">
        <v>124</v>
      </c>
      <c r="F12" s="14" t="s">
        <v>255</v>
      </c>
      <c r="G12" s="14" t="s">
        <v>125</v>
      </c>
      <c r="H12" s="14" t="s">
        <v>256</v>
      </c>
      <c r="I12" s="14" t="s">
        <v>126</v>
      </c>
      <c r="J12" s="14" t="s">
        <v>257</v>
      </c>
      <c r="K12" s="14" t="s">
        <v>127</v>
      </c>
      <c r="L12" s="14" t="s">
        <v>128</v>
      </c>
      <c r="M12" s="14" t="s">
        <v>129</v>
      </c>
      <c r="N12" s="14" t="s">
        <v>130</v>
      </c>
      <c r="O12" s="14" t="s">
        <v>258</v>
      </c>
      <c r="P12" s="14" t="s">
        <v>259</v>
      </c>
      <c r="Q12" s="14" t="s">
        <v>131</v>
      </c>
      <c r="R12" s="14" t="s">
        <v>132</v>
      </c>
      <c r="S12" s="14" t="s">
        <v>133</v>
      </c>
    </row>
    <row r="13" spans="2:21" x14ac:dyDescent="0.4">
      <c r="B13" s="38"/>
      <c r="C13" s="16">
        <v>8</v>
      </c>
      <c r="D13" s="14" t="s">
        <v>134</v>
      </c>
      <c r="E13" s="14" t="s">
        <v>135</v>
      </c>
      <c r="F13" s="14" t="s">
        <v>260</v>
      </c>
      <c r="G13" s="14" t="s">
        <v>136</v>
      </c>
      <c r="H13" s="14" t="s">
        <v>137</v>
      </c>
      <c r="I13" s="14" t="s">
        <v>261</v>
      </c>
      <c r="J13" s="14" t="s">
        <v>262</v>
      </c>
      <c r="K13" s="14" t="s">
        <v>263</v>
      </c>
      <c r="L13" s="14" t="s">
        <v>138</v>
      </c>
      <c r="M13" s="14" t="s">
        <v>139</v>
      </c>
      <c r="N13" s="14" t="s">
        <v>140</v>
      </c>
      <c r="O13" s="14" t="s">
        <v>141</v>
      </c>
      <c r="P13" s="14" t="s">
        <v>264</v>
      </c>
      <c r="Q13" s="14" t="s">
        <v>142</v>
      </c>
      <c r="R13" s="14" t="s">
        <v>265</v>
      </c>
      <c r="S13" s="14" t="s">
        <v>266</v>
      </c>
    </row>
    <row r="14" spans="2:21" x14ac:dyDescent="0.4">
      <c r="B14" s="38"/>
      <c r="C14" s="16">
        <v>9</v>
      </c>
      <c r="D14" s="14" t="s">
        <v>267</v>
      </c>
      <c r="E14" s="14" t="s">
        <v>268</v>
      </c>
      <c r="F14" s="14" t="s">
        <v>143</v>
      </c>
      <c r="G14" s="14" t="s">
        <v>144</v>
      </c>
      <c r="H14" s="14" t="s">
        <v>269</v>
      </c>
      <c r="I14" s="14" t="s">
        <v>145</v>
      </c>
      <c r="J14" s="14" t="s">
        <v>270</v>
      </c>
      <c r="K14" s="14" t="s">
        <v>271</v>
      </c>
      <c r="L14" s="14" t="s">
        <v>272</v>
      </c>
      <c r="M14" s="14" t="s">
        <v>146</v>
      </c>
      <c r="N14" s="14" t="s">
        <v>147</v>
      </c>
      <c r="O14" s="14" t="s">
        <v>273</v>
      </c>
      <c r="P14" s="14" t="s">
        <v>148</v>
      </c>
      <c r="Q14" s="14" t="s">
        <v>149</v>
      </c>
      <c r="R14" s="14" t="s">
        <v>150</v>
      </c>
      <c r="S14" s="14" t="s">
        <v>151</v>
      </c>
    </row>
    <row r="15" spans="2:21" x14ac:dyDescent="0.4">
      <c r="B15" s="38"/>
      <c r="C15" s="16" t="s">
        <v>47</v>
      </c>
      <c r="D15" s="14" t="s">
        <v>152</v>
      </c>
      <c r="E15" s="14" t="s">
        <v>274</v>
      </c>
      <c r="F15" s="14" t="s">
        <v>153</v>
      </c>
      <c r="G15" s="14" t="s">
        <v>154</v>
      </c>
      <c r="H15" s="14" t="s">
        <v>275</v>
      </c>
      <c r="I15" s="14" t="s">
        <v>276</v>
      </c>
      <c r="J15" s="14" t="s">
        <v>277</v>
      </c>
      <c r="K15" s="14" t="s">
        <v>155</v>
      </c>
      <c r="L15" s="14" t="s">
        <v>156</v>
      </c>
      <c r="M15" s="14" t="s">
        <v>157</v>
      </c>
      <c r="N15" s="14" t="s">
        <v>158</v>
      </c>
      <c r="O15" s="14" t="s">
        <v>278</v>
      </c>
      <c r="P15" s="14" t="s">
        <v>279</v>
      </c>
      <c r="Q15" s="14" t="s">
        <v>280</v>
      </c>
      <c r="R15" s="14" t="s">
        <v>159</v>
      </c>
      <c r="S15" s="14" t="s">
        <v>281</v>
      </c>
    </row>
    <row r="16" spans="2:21" x14ac:dyDescent="0.4">
      <c r="B16" s="38"/>
      <c r="C16" s="16" t="s">
        <v>48</v>
      </c>
      <c r="D16" s="14" t="s">
        <v>160</v>
      </c>
      <c r="E16" s="14" t="s">
        <v>161</v>
      </c>
      <c r="F16" s="14" t="s">
        <v>282</v>
      </c>
      <c r="G16" s="14" t="s">
        <v>162</v>
      </c>
      <c r="H16" s="14" t="s">
        <v>163</v>
      </c>
      <c r="I16" s="14" t="s">
        <v>164</v>
      </c>
      <c r="J16" s="14" t="s">
        <v>165</v>
      </c>
      <c r="K16" s="14" t="s">
        <v>166</v>
      </c>
      <c r="L16" s="14" t="s">
        <v>167</v>
      </c>
      <c r="M16" s="14" t="s">
        <v>283</v>
      </c>
      <c r="N16" s="14" t="s">
        <v>168</v>
      </c>
      <c r="O16" s="14" t="s">
        <v>169</v>
      </c>
      <c r="P16" s="14" t="s">
        <v>284</v>
      </c>
      <c r="Q16" s="14" t="s">
        <v>170</v>
      </c>
      <c r="R16" s="14" t="s">
        <v>171</v>
      </c>
      <c r="S16" s="14" t="s">
        <v>285</v>
      </c>
    </row>
    <row r="17" spans="2:19" x14ac:dyDescent="0.4">
      <c r="B17" s="38"/>
      <c r="C17" s="16" t="s">
        <v>49</v>
      </c>
      <c r="D17" s="14" t="s">
        <v>172</v>
      </c>
      <c r="E17" s="14" t="s">
        <v>286</v>
      </c>
      <c r="F17" s="14" t="s">
        <v>287</v>
      </c>
      <c r="G17" s="14" t="s">
        <v>173</v>
      </c>
      <c r="H17" s="14" t="s">
        <v>174</v>
      </c>
      <c r="I17" s="14" t="s">
        <v>175</v>
      </c>
      <c r="J17" s="14" t="s">
        <v>176</v>
      </c>
      <c r="K17" s="14" t="s">
        <v>177</v>
      </c>
      <c r="L17" s="14" t="s">
        <v>178</v>
      </c>
      <c r="M17" s="14" t="s">
        <v>179</v>
      </c>
      <c r="N17" s="14" t="s">
        <v>288</v>
      </c>
      <c r="O17" s="14" t="s">
        <v>180</v>
      </c>
      <c r="P17" s="14" t="s">
        <v>181</v>
      </c>
      <c r="Q17" s="14" t="s">
        <v>182</v>
      </c>
      <c r="R17" s="14" t="s">
        <v>183</v>
      </c>
      <c r="S17" s="14" t="s">
        <v>184</v>
      </c>
    </row>
    <row r="18" spans="2:19" x14ac:dyDescent="0.4">
      <c r="B18" s="38"/>
      <c r="C18" s="16" t="s">
        <v>50</v>
      </c>
      <c r="D18" s="14" t="s">
        <v>289</v>
      </c>
      <c r="E18" s="14" t="s">
        <v>185</v>
      </c>
      <c r="F18" s="14" t="s">
        <v>186</v>
      </c>
      <c r="G18" s="14" t="s">
        <v>290</v>
      </c>
      <c r="H18" s="14" t="s">
        <v>291</v>
      </c>
      <c r="I18" s="14" t="s">
        <v>292</v>
      </c>
      <c r="J18" s="14" t="s">
        <v>187</v>
      </c>
      <c r="K18" s="14" t="s">
        <v>188</v>
      </c>
      <c r="L18" s="14" t="s">
        <v>293</v>
      </c>
      <c r="M18" s="14" t="s">
        <v>294</v>
      </c>
      <c r="N18" s="14" t="s">
        <v>295</v>
      </c>
      <c r="O18" s="14" t="s">
        <v>189</v>
      </c>
      <c r="P18" s="14" t="s">
        <v>296</v>
      </c>
      <c r="Q18" s="14" t="s">
        <v>190</v>
      </c>
      <c r="R18" s="14" t="s">
        <v>191</v>
      </c>
      <c r="S18" s="14" t="s">
        <v>192</v>
      </c>
    </row>
    <row r="19" spans="2:19" x14ac:dyDescent="0.4">
      <c r="B19" s="38"/>
      <c r="C19" s="16" t="s">
        <v>51</v>
      </c>
      <c r="D19" s="14" t="s">
        <v>193</v>
      </c>
      <c r="E19" s="14" t="s">
        <v>194</v>
      </c>
      <c r="F19" s="14" t="s">
        <v>297</v>
      </c>
      <c r="G19" s="14" t="s">
        <v>298</v>
      </c>
      <c r="H19" s="14" t="s">
        <v>299</v>
      </c>
      <c r="I19" s="14" t="s">
        <v>195</v>
      </c>
      <c r="J19" s="14" t="s">
        <v>196</v>
      </c>
      <c r="K19" s="14" t="s">
        <v>300</v>
      </c>
      <c r="L19" s="14" t="s">
        <v>197</v>
      </c>
      <c r="M19" s="14" t="s">
        <v>198</v>
      </c>
      <c r="N19" s="14" t="s">
        <v>301</v>
      </c>
      <c r="O19" s="14" t="s">
        <v>199</v>
      </c>
      <c r="P19" s="14" t="s">
        <v>200</v>
      </c>
      <c r="Q19" s="14" t="s">
        <v>302</v>
      </c>
      <c r="R19" s="14" t="s">
        <v>303</v>
      </c>
      <c r="S19" s="14" t="s">
        <v>201</v>
      </c>
    </row>
    <row r="20" spans="2:19" x14ac:dyDescent="0.4">
      <c r="B20" s="38"/>
      <c r="C20" s="16" t="s">
        <v>52</v>
      </c>
      <c r="D20" s="14" t="s">
        <v>202</v>
      </c>
      <c r="E20" s="14" t="s">
        <v>203</v>
      </c>
      <c r="F20" s="14" t="s">
        <v>304</v>
      </c>
      <c r="G20" s="14" t="s">
        <v>204</v>
      </c>
      <c r="H20" s="14" t="s">
        <v>205</v>
      </c>
      <c r="I20" s="14" t="s">
        <v>206</v>
      </c>
      <c r="J20" s="14" t="s">
        <v>305</v>
      </c>
      <c r="K20" s="14" t="s">
        <v>306</v>
      </c>
      <c r="L20" s="14" t="s">
        <v>307</v>
      </c>
      <c r="M20" s="14" t="s">
        <v>308</v>
      </c>
      <c r="N20" s="14" t="s">
        <v>207</v>
      </c>
      <c r="O20" s="14" t="s">
        <v>208</v>
      </c>
      <c r="P20" s="14" t="s">
        <v>209</v>
      </c>
      <c r="Q20" s="14" t="s">
        <v>309</v>
      </c>
      <c r="R20" s="14" t="s">
        <v>210</v>
      </c>
      <c r="S20" s="14" t="s">
        <v>310</v>
      </c>
    </row>
  </sheetData>
  <mergeCells count="3">
    <mergeCell ref="B5:B20"/>
    <mergeCell ref="D3:S3"/>
    <mergeCell ref="B3: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키생성과정(Key Scheduling)</vt:lpstr>
      <vt:lpstr>암호화과정(Ciphering)</vt:lpstr>
      <vt:lpstr>S-box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KwangjaeLee</dc:creator>
  <cp:lastModifiedBy>지현 곽</cp:lastModifiedBy>
  <cp:lastPrinted>2022-03-21T09:45:13Z</cp:lastPrinted>
  <dcterms:created xsi:type="dcterms:W3CDTF">2022-03-02T00:20:07Z</dcterms:created>
  <dcterms:modified xsi:type="dcterms:W3CDTF">2024-04-12T01:19:54Z</dcterms:modified>
</cp:coreProperties>
</file>